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2"/>
  </bookViews>
  <sheets>
    <sheet name="bike_buyers" sheetId="1" r:id="rId1"/>
    <sheet name="working sheet" sheetId="2" r:id="rId2"/>
    <sheet name="Dashboard" sheetId="3" r:id="rId3"/>
    <sheet name="Pivot table" sheetId="4" r:id="rId4"/>
  </sheets>
  <definedNames>
    <definedName name="_xlnm._FilterDatabase" localSheetId="0" hidden="1">bike_buyers!$A$1:$M$1001</definedName>
    <definedName name="Slicer_Mar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<sst xmlns="http://schemas.openxmlformats.org/spreadsheetml/2006/main" count="16267" uniqueCount="50">
  <si>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</si>
  <si>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</si>
  <si>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</si>
  <si>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</si>
  <si>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</si>
  <si>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</si>
  <si>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</si>
  <si>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</si>
  <si>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</si>
  <si>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</si>
  <si>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</si>
  <si>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</si>
  <si>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</si>
  <si>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</si>
  <si>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</si>
  <si>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</si>
  <si>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</si>
  <si>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</si>
  <si>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</si>
  <si>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</si>
  <si>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</si>
  <si>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</si>
  <si>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</si>
  <si>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</si>
  <si>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</si>
  <si>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</si>
  <si>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</si>
  <si>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</si>
  <si>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</si>
  <si>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</si>
  <si>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</si>
  <si>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</si>
  <si>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</si>
  <si>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</si>
  <si>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</si>
  <si>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</si>
  <si>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Marrital Status</t>
  </si>
  <si>
    <t>Age Bracket</t>
  </si>
  <si>
    <t>Married</t>
  </si>
  <si>
    <t>Female</t>
  </si>
  <si>
    <t>Male</t>
  </si>
  <si>
    <t>Single</t>
  </si>
  <si>
    <t>more than 10 Miles</t>
  </si>
  <si>
    <t>BIKE SALES DASHBOARD</t>
  </si>
  <si>
    <t>Average of Income</t>
  </si>
  <si>
    <t>Grand Total</t>
  </si>
  <si>
    <t>Count of Purchased Bike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</si>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</sst>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2">
    <font>
      <sz val="11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/>
    <xf numFmtId="178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6578947368421"/>
          <c:y val="0.343055554562145"/>
          <c:w val="0.683342105263158"/>
          <c:h val="0.534120372357192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table'!$B$53:$B$56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table'!$C$53:$C$56</c:f>
              <c:numCache>
                <c:formatCode>General</c:formatCode>
                <c:ptCount val="3"/>
                <c:pt idx="0">
                  <c:v>4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6744508"/>
        <c:axId val="759954832"/>
      </c:lineChart>
      <c:catAx>
        <c:axId val="3367445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954832"/>
        <c:crosses val="autoZero"/>
        <c:auto val="1"/>
        <c:lblAlgn val="ctr"/>
        <c:lblOffset val="100"/>
        <c:noMultiLvlLbl val="0"/>
      </c:catAx>
      <c:valAx>
        <c:axId val="75995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7445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1de56d-f34a-4b59-84f4-22ac1f4062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</a:t>
            </a:r>
            <a:endParaRPr lang="en-US" altLang="en-GB"/>
          </a:p>
        </c:rich>
      </c:tx>
      <c:layout>
        <c:manualLayout>
          <c:xMode val="edge"/>
          <c:yMode val="edge"/>
          <c:x val="0.303327787021631"/>
          <c:y val="0.05314960489122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252911813644"/>
          <c:y val="0.1269079345851"/>
          <c:w val="0.71171381031614"/>
          <c:h val="0.747834645669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85000</c:v>
                </c:pt>
                <c:pt idx="1">
                  <c:v>78181.8181818182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68750</c:v>
                </c:pt>
                <c:pt idx="1">
                  <c:v>72727.2727272727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1713807"/>
        <c:axId val="125841521"/>
      </c:barChart>
      <c:catAx>
        <c:axId val="17171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841521"/>
        <c:crosses val="autoZero"/>
        <c:auto val="1"/>
        <c:lblAlgn val="ctr"/>
        <c:lblOffset val="100"/>
        <c:noMultiLvlLbl val="0"/>
      </c:catAx>
      <c:valAx>
        <c:axId val="1258415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7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710482529118"/>
          <c:y val="0.418307086614173"/>
          <c:w val="0.221297836938436"/>
          <c:h val="0.2906824146981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df37d9-3a94-4c0c-848b-70a7b8efca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table'!$B$53:$B$56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table'!$C$53:$C$56</c:f>
              <c:numCache>
                <c:formatCode>General</c:formatCode>
                <c:ptCount val="3"/>
                <c:pt idx="0">
                  <c:v>4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6744508"/>
        <c:axId val="759954832"/>
      </c:lineChart>
      <c:catAx>
        <c:axId val="3367445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954832"/>
        <c:crosses val="autoZero"/>
        <c:auto val="1"/>
        <c:lblAlgn val="ctr"/>
        <c:lblOffset val="100"/>
        <c:noMultiLvlLbl val="0"/>
      </c:catAx>
      <c:valAx>
        <c:axId val="7599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7445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b0c936-62d6-42a4-a969-d10d60ed39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6578947368421"/>
          <c:y val="0.288524588600534"/>
          <c:w val="0.683342105263158"/>
          <c:h val="0.43621129638727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table'!$B$27:$B$28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table'!$A$29:$A$34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table'!$B$29:$B$34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table'!$C$27:$C$28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table'!$A$29:$A$34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table'!$C$29:$C$34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8048044"/>
        <c:axId val="688890851"/>
      </c:lineChart>
      <c:catAx>
        <c:axId val="3880480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890851"/>
        <c:crosses val="autoZero"/>
        <c:auto val="1"/>
        <c:lblAlgn val="ctr"/>
        <c:lblOffset val="100"/>
        <c:noMultiLvlLbl val="0"/>
      </c:catAx>
      <c:valAx>
        <c:axId val="6888908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048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64f03a-4ca1-4594-95fd-70e4c600d7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935892657473"/>
          <c:y val="0.054916067146283"/>
          <c:w val="0.678394831656106"/>
          <c:h val="0.51736211237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85000</c:v>
                </c:pt>
                <c:pt idx="1">
                  <c:v>78181.8181818182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table'!$C$4:$C$6</c:f>
              <c:numCache>
                <c:formatCode>General</c:formatCode>
                <c:ptCount val="2"/>
                <c:pt idx="0">
                  <c:v>68750</c:v>
                </c:pt>
                <c:pt idx="1">
                  <c:v>72727.2727272727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1713807"/>
        <c:axId val="125841521"/>
      </c:barChart>
      <c:catAx>
        <c:axId val="17171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841521"/>
        <c:crosses val="autoZero"/>
        <c:auto val="1"/>
        <c:lblAlgn val="ctr"/>
        <c:lblOffset val="100"/>
        <c:noMultiLvlLbl val="0"/>
      </c:catAx>
      <c:valAx>
        <c:axId val="1258415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71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6578947368421"/>
          <c:y val="0.288524588600534"/>
          <c:w val="0.683342105263158"/>
          <c:h val="0.43621129638727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table'!$B$27:$B$28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table'!$A$29:$A$34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table'!$B$29:$B$34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table'!$C$27:$C$28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table'!$A$29:$A$34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table'!$C$29:$C$34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8048044"/>
        <c:axId val="688890851"/>
      </c:lineChart>
      <c:catAx>
        <c:axId val="3880480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890851"/>
        <c:crosses val="autoZero"/>
        <c:auto val="1"/>
        <c:lblAlgn val="ctr"/>
        <c:lblOffset val="100"/>
        <c:noMultiLvlLbl val="0"/>
      </c:catAx>
      <c:valAx>
        <c:axId val="6888908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048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table'!$B$53:$B$56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table'!$A$53:$A$56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table'!$C$53:$C$56</c:f>
              <c:numCache>
                <c:formatCode>General</c:formatCode>
                <c:ptCount val="3"/>
                <c:pt idx="0">
                  <c:v>4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6744508"/>
        <c:axId val="759954832"/>
      </c:lineChart>
      <c:catAx>
        <c:axId val="3367445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954832"/>
        <c:crosses val="autoZero"/>
        <c:auto val="1"/>
        <c:lblAlgn val="ctr"/>
        <c:lblOffset val="100"/>
        <c:noMultiLvlLbl val="0"/>
      </c:catAx>
      <c:valAx>
        <c:axId val="7599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7445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229</xdr:col>
      <xdr:colOff>18415</xdr:colOff>
      <xdr:row>0</xdr:row>
      <xdr:rowOff>635</xdr:rowOff>
    </xdr:from>
    <xdr:to>
      <xdr:col>236</xdr:col>
      <xdr:colOff>539750</xdr:colOff>
      <xdr:row>11</xdr:row>
      <xdr:rowOff>125730</xdr:rowOff>
    </xdr:to>
    <xdr:graphicFrame>
      <xdr:nvGraphicFramePr>
        <xdr:cNvPr id="11" name="Chart 10"/>
        <xdr:cNvGraphicFramePr/>
      </xdr:nvGraphicFramePr>
      <xdr:xfrm>
        <a:off x="139616815" y="635"/>
        <a:ext cx="4788535" cy="2363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</xdr:colOff>
      <xdr:row>2</xdr:row>
      <xdr:rowOff>95250</xdr:rowOff>
    </xdr:from>
    <xdr:to>
      <xdr:col>8</xdr:col>
      <xdr:colOff>320675</xdr:colOff>
      <xdr:row>13</xdr:row>
      <xdr:rowOff>96520</xdr:rowOff>
    </xdr:to>
    <xdr:graphicFrame>
      <xdr:nvGraphicFramePr>
        <xdr:cNvPr id="13" name="Chart 12"/>
        <xdr:cNvGraphicFramePr/>
      </xdr:nvGraphicFramePr>
      <xdr:xfrm>
        <a:off x="1381125" y="619125"/>
        <a:ext cx="3816350" cy="2096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372110</xdr:colOff>
      <xdr:row>2</xdr:row>
      <xdr:rowOff>76835</xdr:rowOff>
    </xdr:from>
    <xdr:to>
      <xdr:col>14</xdr:col>
      <xdr:colOff>158750</xdr:colOff>
      <xdr:row>13</xdr:row>
      <xdr:rowOff>49530</xdr:rowOff>
    </xdr:to>
    <xdr:graphicFrame>
      <xdr:nvGraphicFramePr>
        <xdr:cNvPr id="14" name="Chart 13"/>
        <xdr:cNvGraphicFramePr/>
      </xdr:nvGraphicFramePr>
      <xdr:xfrm>
        <a:off x="5248910" y="600710"/>
        <a:ext cx="3444240" cy="206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142875</xdr:colOff>
      <xdr:row>13</xdr:row>
      <xdr:rowOff>67310</xdr:rowOff>
    </xdr:from>
    <xdr:to>
      <xdr:col>14</xdr:col>
      <xdr:colOff>139700</xdr:colOff>
      <xdr:row>28</xdr:row>
      <xdr:rowOff>132715</xdr:rowOff>
    </xdr:to>
    <xdr:graphicFrame>
      <xdr:nvGraphicFramePr>
        <xdr:cNvPr id="15" name="Chart 14"/>
        <xdr:cNvGraphicFramePr/>
      </xdr:nvGraphicFramePr>
      <xdr:xfrm>
        <a:off x="1362075" y="2686685"/>
        <a:ext cx="7312025" cy="2922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9525</xdr:colOff>
      <xdr:row>2</xdr:row>
      <xdr:rowOff>140335</xdr:rowOff>
    </xdr:from>
    <xdr:to>
      <xdr:col>2</xdr:col>
      <xdr:colOff>201930</xdr:colOff>
      <xdr:row>7</xdr:row>
      <xdr:rowOff>86360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Mar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664210"/>
              <a:ext cx="1411605" cy="898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19685</xdr:colOff>
      <xdr:row>8</xdr:row>
      <xdr:rowOff>44450</xdr:rowOff>
    </xdr:from>
    <xdr:to>
      <xdr:col>2</xdr:col>
      <xdr:colOff>125095</xdr:colOff>
      <xdr:row>17</xdr:row>
      <xdr:rowOff>93980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85" y="1711325"/>
              <a:ext cx="1324610" cy="1764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</xdr:colOff>
      <xdr:row>17</xdr:row>
      <xdr:rowOff>132715</xdr:rowOff>
    </xdr:from>
    <xdr:to>
      <xdr:col>2</xdr:col>
      <xdr:colOff>154940</xdr:colOff>
      <xdr:row>28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" y="3514090"/>
              <a:ext cx="1353820" cy="2146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8</xdr:row>
      <xdr:rowOff>177800</xdr:rowOff>
    </xdr:from>
    <xdr:to>
      <xdr:col>4</xdr:col>
      <xdr:colOff>340360</xdr:colOff>
      <xdr:row>22</xdr:row>
      <xdr:rowOff>158750</xdr:rowOff>
    </xdr:to>
    <xdr:graphicFrame>
      <xdr:nvGraphicFramePr>
        <xdr:cNvPr id="2" name="Chart 1"/>
        <xdr:cNvGraphicFramePr/>
      </xdr:nvGraphicFramePr>
      <xdr:xfrm>
        <a:off x="635" y="1701800"/>
        <a:ext cx="511175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35</xdr:row>
      <xdr:rowOff>12700</xdr:rowOff>
    </xdr:from>
    <xdr:to>
      <xdr:col>4</xdr:col>
      <xdr:colOff>111125</xdr:colOff>
      <xdr:row>48</xdr:row>
      <xdr:rowOff>40640</xdr:rowOff>
    </xdr:to>
    <xdr:graphicFrame>
      <xdr:nvGraphicFramePr>
        <xdr:cNvPr id="3" name="Chart 2"/>
        <xdr:cNvGraphicFramePr/>
      </xdr:nvGraphicFramePr>
      <xdr:xfrm>
        <a:off x="57150" y="6680200"/>
        <a:ext cx="4826000" cy="250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58</xdr:row>
      <xdr:rowOff>92075</xdr:rowOff>
    </xdr:from>
    <xdr:to>
      <xdr:col>4</xdr:col>
      <xdr:colOff>63500</xdr:colOff>
      <xdr:row>72</xdr:row>
      <xdr:rowOff>168275</xdr:rowOff>
    </xdr:to>
    <xdr:graphicFrame>
      <xdr:nvGraphicFramePr>
        <xdr:cNvPr id="4" name="Chart 3"/>
        <xdr:cNvGraphicFramePr/>
      </xdr:nvGraphicFramePr>
      <xdr:xfrm>
        <a:off x="9525" y="11141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5.8256134259" refreshedBy="Lenovo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8">
        <s v="0-1 Miles"/>
        <s v="2-5 Miles"/>
        <s v="5-10 Miles"/>
        <s v="1-2 Miles"/>
        <s v="more than 10 Miles"/>
        <s v="&gt;10 Miles" u="1"/>
        <s v="10+Myles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4">
        <s v="Middle age"/>
        <s v="Old"/>
        <s v="Adolescent"/>
        <s v="Invali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0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0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0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0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0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3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0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0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</r>
  <r>
    <x v="139"/>
    <x v="1"/>
    <x v="0"/>
    <x v="1"/>
    <x v="4"/>
    <x v="1"/>
    <x v="1"/>
    <x v="1"/>
    <x v="2"/>
    <x v="2"/>
    <x v="1"/>
    <x v="2"/>
    <x v="0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0"/>
    <x v="1"/>
  </r>
  <r>
    <x v="171"/>
    <x v="0"/>
    <x v="0"/>
    <x v="2"/>
    <x v="2"/>
    <x v="0"/>
    <x v="4"/>
    <x v="0"/>
    <x v="2"/>
    <x v="1"/>
    <x v="0"/>
    <x v="33"/>
    <x v="0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0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:D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9">
        <item m="1" x="5"/>
        <item x="0"/>
        <item m="1" x="7"/>
        <item m="1" x="6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27:D3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9">
        <item m="1" x="5"/>
        <item x="0"/>
        <item m="1" x="7"/>
        <item m="1" x="6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 v="1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51:D56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h="1" x="4"/>
        <item h="1" x="2"/>
        <item h="1"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9">
        <item m="1" x="5"/>
        <item x="0"/>
        <item m="1" x="7"/>
        <item m="1" x="6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multipleItemSelectionAllowed="1" showAll="0">
      <items count="5">
        <item x="2"/>
        <item h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rital_Status" sourceName="Marrital Status">
  <pivotTables>
    <pivotTable tabId="4" name="PivotTable1"/>
    <pivotTable tabId="4" name="PivotTable2"/>
    <pivotTable tabId="4" name="PivotTable3"/>
  </pivotTables>
  <data>
    <tabular pivotCacheId="1">
      <items count="2">
        <i x="0" s="1"/>
        <i x="1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4" name="PivotTable1"/>
    <pivotTable tabId="4" name="PivotTable2"/>
    <pivotTable tabId="4" name="PivotTable3"/>
  </pivotTables>
  <data>
    <tabular pivotCacheId="1">
      <items count="5">
        <i x="0" s="1"/>
        <i x="4" s="0"/>
        <i x="2" s="0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1"/>
    <pivotTable tabId="4" name="PivotTable2"/>
    <pivotTable tabId="4" name="PivotTable3"/>
  </pivotTables>
  <data>
    <tabular pivotCacheId="1">
      <items count="3">
        <i x="0" s="0"/>
        <i x="2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rital Status" cache="Slicer_Marrital_Status" caption="Mar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abSelected="1" workbookViewId="0">
      <selection activeCell="D16" sqref="D16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4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4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4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4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4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4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4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4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4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4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4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4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4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4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4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4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4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4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4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4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4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4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4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J1" workbookViewId="0">
      <selection activeCell="T6" sqref="T6"/>
    </sheetView>
  </sheetViews>
  <sheetFormatPr defaultColWidth="11.8857142857143" defaultRowHeight="15"/>
  <cols>
    <col min="2" max="2" width="15" customWidth="1"/>
    <col min="6" max="6" width="19" customWidth="1"/>
    <col min="7" max="7" width="15.1428571428571" customWidth="1"/>
    <col min="8" max="8" width="13.7142857142857" customWidth="1"/>
    <col min="10" max="10" width="19.2857142857143" customWidth="1"/>
    <col min="14" max="14" width="15.4380952380952" customWidth="1"/>
  </cols>
  <sheetData>
    <row r="1" spans="1:14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IF(L2&gt;=54,"Old",IF(L2&gt;=31,"Middle age",IF(L2&lt;31,"Adolescent",)))</f>
        <v>Middle age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>IF(L3&gt;=54,"Old",IF(L3&gt;=31,"Middle age",IF(L3&lt;31,"Adolescent",)))</f>
        <v>Middle age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ref="M3:M21" si="0">IF(L4&gt;=54,"Old",IF(L4&gt;=31,"Middle age",IF(L4&lt;31,"Adolescent","Invalid")))</f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Old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>IF(L22&gt;=54,"Old",IF(L22&gt;=31,"Middle age",IF(L22&lt;31,"Adolescent","Invalid")))</f>
        <v>Middle age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>IF(L23&gt;=54,"Old",IF(L23&gt;=31,"Middle age",IF(L23&lt;31,"Adolescent","Invalid")))</f>
        <v>Middle age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>IF(L24&gt;=31,"Middle age",IF(L24&lt;31,"Adolescent","Invalid"))</f>
        <v>Middle age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>IF(L25&gt;=31,"Middle age",IF(L25&lt;31,"Adolescent","Invalid"))</f>
        <v>Middle age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>IF(L26&gt;=31,"Middle age",IF(L26&lt;31,"Adolescent","Invalid"))</f>
        <v>Middle age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>IF(L27&gt;=31,"Middle age",IF(L27&lt;31,"Adolescent","Invalid"))</f>
        <v>Middle age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>IF(L28&gt;=31,"Middle age",IF(L28&lt;31,"Adolescent","Invalid"))</f>
        <v>Adolescent</v>
      </c>
      <c r="N28" t="s">
        <v>17</v>
      </c>
    </row>
    <row r="29" spans="1:14">
      <c r="A29">
        <v>18283</v>
      </c>
      <c r="B29" t="s">
        <v>41</v>
      </c>
      <c r="C29" t="s">
        <v>39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>IF(L30&gt;=31,"Middle age",IF(L29&lt;31,"Adolescent","Invalid"))</f>
        <v>Middle age</v>
      </c>
      <c r="N29" t="s">
        <v>20</v>
      </c>
    </row>
    <row r="30" spans="1:14">
      <c r="A30">
        <v>18299</v>
      </c>
      <c r="B30" t="s">
        <v>38</v>
      </c>
      <c r="C30" t="s">
        <v>40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>IF(L30&gt;=54,"Old",IF(L30&gt;=31,"Middle age",IF(L30&lt;31,"Adolescent","Invalid")))</f>
        <v>Middle age</v>
      </c>
      <c r="N30" t="s">
        <v>20</v>
      </c>
    </row>
    <row r="31" spans="1:14">
      <c r="A31">
        <v>16466</v>
      </c>
      <c r="B31" t="s">
        <v>41</v>
      </c>
      <c r="C31" t="s">
        <v>39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>IF(L31&gt;=54,"Old",IF(L31&gt;=31,"Middle age",IF(L31&lt;31,"Adolescent","Invalid")))</f>
        <v>Middle age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>IF(L32&gt;=54,"Old",IF(L32&gt;=31,"Middle age",IF(L32&lt;31,"Adolescent","Invalid")))</f>
        <v>Old</v>
      </c>
      <c r="N32" t="s">
        <v>20</v>
      </c>
    </row>
    <row r="33" spans="1:14">
      <c r="A33">
        <v>22400</v>
      </c>
      <c r="B33" t="s">
        <v>38</v>
      </c>
      <c r="C33" t="s">
        <v>40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>IF(L33&gt;=54,"Old",IF(L33&gt;=31,"Middle age",IF(L33&lt;31,"Adolescent","Invalid")))</f>
        <v>Adolescent</v>
      </c>
      <c r="N33" t="s">
        <v>17</v>
      </c>
    </row>
    <row r="34" spans="1:14">
      <c r="A34">
        <v>20942</v>
      </c>
      <c r="B34" t="s">
        <v>41</v>
      </c>
      <c r="C34" t="s">
        <v>39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>IF(L34&gt;=54,"Old",IF(L34&gt;=31,"Middle age",IF(L34&lt;31,"Adolescent","Invalid")))</f>
        <v>Middle age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>IF(L35&gt;=54,"Old",IF(L35&gt;=31,"Middle age",IF(L35&lt;31,"Adolescent","Invalid")))</f>
        <v>Middle age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>IF(L36&gt;=54,"Old",IF(L36&gt;=31,"Middle age",IF(L36&lt;31,"Adolescent","Invalid")))</f>
        <v>Old</v>
      </c>
      <c r="N36" t="s">
        <v>17</v>
      </c>
    </row>
    <row r="37" spans="1:14">
      <c r="A37">
        <v>28380</v>
      </c>
      <c r="B37" t="s">
        <v>41</v>
      </c>
      <c r="C37" t="s">
        <v>39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>IF(L37&gt;=54,"Old",IF(L37&gt;=31,"Middle age",IF(L37&lt;31,"Adolescent","Invalid")))</f>
        <v>Middle age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>IF(L38&gt;=54,"Old",IF(L38&gt;=31,"Middle age",IF(L38&lt;31,"Adolescent","Invalid")))</f>
        <v>Middle age</v>
      </c>
      <c r="N38" t="s">
        <v>17</v>
      </c>
    </row>
    <row r="39" spans="1:14">
      <c r="A39">
        <v>27832</v>
      </c>
      <c r="B39" t="s">
        <v>41</v>
      </c>
      <c r="C39" t="s">
        <v>39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>IF(L39&gt;=54,"Old",IF(L39&gt;=31,"Middle age",IF(L39&lt;31,"Adolescent","Invalid")))</f>
        <v>Adolescent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>IF(L40&gt;=54,"Old",IF(L40&gt;=31,"Middle age",IF(L40&lt;31,"Adolescent","Invalid")))</f>
        <v>Adolescent</v>
      </c>
      <c r="N40" t="s">
        <v>20</v>
      </c>
    </row>
    <row r="41" spans="1:14">
      <c r="A41">
        <v>16259</v>
      </c>
      <c r="B41" t="s">
        <v>41</v>
      </c>
      <c r="C41" t="s">
        <v>39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>IF(L41&gt;=54,"Old",IF(L41&gt;=31,"Middle age",IF(L41&lt;31,"Adolescent","Invalid")))</f>
        <v>Middle age</v>
      </c>
      <c r="N41" t="s">
        <v>17</v>
      </c>
    </row>
    <row r="42" spans="1:14">
      <c r="A42">
        <v>27803</v>
      </c>
      <c r="B42" t="s">
        <v>41</v>
      </c>
      <c r="C42" t="s">
        <v>39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>IF(L42&gt;=54,"Old",IF(L42&gt;=31,"Middle age",IF(L42&lt;31,"Adolescent","Invalid")))</f>
        <v>Middle age</v>
      </c>
      <c r="N42" t="s">
        <v>20</v>
      </c>
    </row>
    <row r="43" spans="1:14">
      <c r="A43">
        <v>14347</v>
      </c>
      <c r="B43" t="s">
        <v>41</v>
      </c>
      <c r="C43" t="s">
        <v>39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>IF(L43&gt;=31,"Middle age",IF(L43&lt;31,"Adolescent","Invalid"))</f>
        <v>Middle age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>IF(L44&gt;=31,"Middle age",IF(L44&lt;31,"Adolescent","Invalid"))</f>
        <v>Middle age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>IF(L45&gt;=31,"Middle age",IF(L45&lt;31,"Adolescent","Invalid"))</f>
        <v>Middle age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>IF(L46&gt;=31,"Middle age",IF(L46&lt;31,"Adolescent","Invalid"))</f>
        <v>Middle age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>IF(L47&gt;=31,"Middle age",IF(L47&lt;31,"Adolescent","Invalid"))</f>
        <v>Middle age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>IF(L49&gt;=31,"Middle age",IF(L48&lt;31,"Adolescent","Invalid"))</f>
        <v>Middle age</v>
      </c>
      <c r="N48" t="s">
        <v>17</v>
      </c>
    </row>
    <row r="49" spans="1:14">
      <c r="A49">
        <v>29097</v>
      </c>
      <c r="B49" t="s">
        <v>41</v>
      </c>
      <c r="C49" t="s">
        <v>39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>IF(L49&gt;=54,"Old",IF(L49&gt;=31,"Middle age",IF(L49&lt;31,"Adolescent","Invalid")))</f>
        <v>Middle age</v>
      </c>
      <c r="N49" t="s">
        <v>17</v>
      </c>
    </row>
    <row r="50" spans="1:14">
      <c r="A50">
        <v>19487</v>
      </c>
      <c r="B50" t="s">
        <v>38</v>
      </c>
      <c r="C50" t="s">
        <v>40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>IF(L50&gt;=54,"Old",IF(L50&gt;=31,"Middle age",IF(L50&lt;31,"Adolescent","Invalid")))</f>
        <v>Middle age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>IF(L51&gt;=54,"Old",IF(L51&gt;=31,"Middle age",IF(L51&lt;31,"Adolescent","Invalid")))</f>
        <v>Middle age</v>
      </c>
      <c r="N51" t="s">
        <v>17</v>
      </c>
    </row>
    <row r="52" spans="1:14">
      <c r="A52">
        <v>13826</v>
      </c>
      <c r="B52" t="s">
        <v>41</v>
      </c>
      <c r="C52" t="s">
        <v>39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>IF(L52&gt;=54,"Old",IF(L52&gt;=31,"Middle age",IF(L52&lt;31,"Adolescent","Invalid")))</f>
        <v>Adolescent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>IF(L53&gt;=54,"Old",IF(L53&gt;=31,"Middle age",IF(L53&lt;31,"Adolescent","Invalid")))</f>
        <v>Middle age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>IF(L54&gt;=54,"Old",IF(L54&gt;=31,"Middle age",IF(L54&lt;31,"Adolescent","Invalid")))</f>
        <v>Old</v>
      </c>
      <c r="N54" t="s">
        <v>20</v>
      </c>
    </row>
    <row r="55" spans="1:14">
      <c r="A55">
        <v>24871</v>
      </c>
      <c r="B55" t="s">
        <v>41</v>
      </c>
      <c r="C55" t="s">
        <v>39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>IF(L55&gt;=54,"Old",IF(L55&gt;=31,"Middle age",IF(L55&lt;31,"Adolescent","Invalid")))</f>
        <v>Old</v>
      </c>
      <c r="N55" t="s">
        <v>20</v>
      </c>
    </row>
    <row r="56" spans="1:14">
      <c r="A56">
        <v>17319</v>
      </c>
      <c r="B56" t="s">
        <v>41</v>
      </c>
      <c r="C56" t="s">
        <v>39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>IF(L56&gt;=54,"Old",IF(L56&gt;=31,"Middle age",IF(L56&lt;31,"Adolescent","Invalid")))</f>
        <v>Middle age</v>
      </c>
      <c r="N56" t="s">
        <v>20</v>
      </c>
    </row>
    <row r="57" spans="1:14">
      <c r="A57">
        <v>28906</v>
      </c>
      <c r="B57" t="s">
        <v>38</v>
      </c>
      <c r="C57" t="s">
        <v>40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>IF(L57&gt;=54,"Old",IF(L57&gt;=31,"Middle age",IF(L57&lt;31,"Adolescent","Invalid")))</f>
        <v>Old</v>
      </c>
      <c r="N57" t="s">
        <v>20</v>
      </c>
    </row>
    <row r="58" spans="1:14">
      <c r="A58">
        <v>12808</v>
      </c>
      <c r="B58" t="s">
        <v>38</v>
      </c>
      <c r="C58" t="s">
        <v>40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>IF(L58&gt;=54,"Old",IF(L58&gt;=31,"Middle age",IF(L58&lt;31,"Adolescent","Invalid")))</f>
        <v>Middle age</v>
      </c>
      <c r="N58" t="s">
        <v>17</v>
      </c>
    </row>
    <row r="59" spans="1:14">
      <c r="A59">
        <v>20567</v>
      </c>
      <c r="B59" t="s">
        <v>38</v>
      </c>
      <c r="C59" t="s">
        <v>40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>IF(L59&gt;=54,"Old",IF(L59&gt;=31,"Middle age",IF(L59&lt;31,"Adolescent","Invalid")))</f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>IF(L60&gt;=54,"Old",IF(L60&gt;=31,"Middle age",IF(L60&lt;31,"Adolescent","Invalid")))</f>
        <v>Middle age</v>
      </c>
      <c r="N60" t="s">
        <v>17</v>
      </c>
    </row>
    <row r="61" spans="1:14">
      <c r="A61">
        <v>15580</v>
      </c>
      <c r="B61" t="s">
        <v>38</v>
      </c>
      <c r="C61" t="s">
        <v>40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>IF(L61&gt;=54,"Old",IF(L61&gt;=31,"Middle age",IF(L61&lt;31,"Adolescent","Invalid")))</f>
        <v>Middle age</v>
      </c>
      <c r="N61" t="s">
        <v>17</v>
      </c>
    </row>
    <row r="62" spans="1:14">
      <c r="A62">
        <v>24185</v>
      </c>
      <c r="B62" t="s">
        <v>41</v>
      </c>
      <c r="C62" t="s">
        <v>39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>IF(L62&gt;=54,"Old",IF(L62&gt;=31,"Middle age",IF(L62&lt;31,"Adolescent","Invalid")))</f>
        <v>Middle age</v>
      </c>
      <c r="N62" t="s">
        <v>20</v>
      </c>
    </row>
    <row r="63" spans="1:14">
      <c r="A63">
        <v>19291</v>
      </c>
      <c r="B63" t="s">
        <v>41</v>
      </c>
      <c r="C63" t="s">
        <v>39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>IF(L63&gt;=54,"Old",IF(L63&gt;=31,"Middle age",IF(L63&lt;31,"Adolescent","Invalid")))</f>
        <v>Middle age</v>
      </c>
      <c r="N63" t="s">
        <v>20</v>
      </c>
    </row>
    <row r="64" spans="1:14">
      <c r="A64">
        <v>16713</v>
      </c>
      <c r="B64" t="s">
        <v>38</v>
      </c>
      <c r="C64" t="s">
        <v>40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>IF(L64&gt;=31,"Middle age",IF(L64&lt;31,"Adolescent","Invalid"))</f>
        <v>Middle age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>IF(L65&gt;=31,"Middle age",IF(L65&lt;31,"Adolescent","Invalid"))</f>
        <v>Middle age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>IF(L66&gt;=31,"Middle age",IF(L66&lt;31,"Adolescent","Invalid"))</f>
        <v>Middle age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>IF(L67&gt;=31,"Middle age",IF(L67&lt;31,"Adolescent","Invalid"))</f>
        <v>Middle age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>IF(L68&gt;=31,"Middle age",IF(L68&lt;31,"Adolescent","Invalid"))</f>
        <v>Middle age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>IF(L70&gt;=31,"Middle age",IF(L69&lt;31,"Adolescent","Invalid"))</f>
        <v>Middle age</v>
      </c>
      <c r="N69" t="s">
        <v>17</v>
      </c>
    </row>
    <row r="70" spans="1:14">
      <c r="A70">
        <v>14813</v>
      </c>
      <c r="B70" t="s">
        <v>41</v>
      </c>
      <c r="C70" t="s">
        <v>39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>IF(L70&gt;=54,"Old",IF(L70&gt;=31,"Middle age",IF(L70&lt;31,"Adolescent","Invalid")))</f>
        <v>Middle age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>IF(L71&gt;=54,"Old",IF(L71&gt;=31,"Middle age",IF(L71&lt;31,"Adolescent","Invalid")))</f>
        <v>Adolescent</v>
      </c>
      <c r="N71" t="s">
        <v>20</v>
      </c>
    </row>
    <row r="72" spans="1:14">
      <c r="A72">
        <v>14238</v>
      </c>
      <c r="B72" t="s">
        <v>38</v>
      </c>
      <c r="C72" t="s">
        <v>40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>IF(L72&gt;=54,"Old",IF(L72&gt;=31,"Middle age",IF(L72&lt;31,"Adolescent","Invalid")))</f>
        <v>Middle age</v>
      </c>
      <c r="N72" t="s">
        <v>17</v>
      </c>
    </row>
    <row r="73" spans="1:14">
      <c r="A73">
        <v>16200</v>
      </c>
      <c r="B73" t="s">
        <v>41</v>
      </c>
      <c r="C73" t="s">
        <v>39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>IF(L73&gt;=54,"Old",IF(L73&gt;=31,"Middle age",IF(L73&lt;31,"Adolescent","Invalid")))</f>
        <v>Middle age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>IF(L74&gt;=54,"Old",IF(L74&gt;=31,"Middle age",IF(L74&lt;31,"Adolescent","Invalid")))</f>
        <v>Middle age</v>
      </c>
      <c r="N74" t="s">
        <v>20</v>
      </c>
    </row>
    <row r="75" spans="1:14">
      <c r="A75">
        <v>26956</v>
      </c>
      <c r="B75" t="s">
        <v>41</v>
      </c>
      <c r="C75" t="s">
        <v>39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>IF(L75&gt;=54,"Old",IF(L75&gt;=31,"Middle age",IF(L75&lt;31,"Adolescent","Invalid")))</f>
        <v>Middle age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>IF(L76&gt;=54,"Old",IF(L76&gt;=31,"Middle age",IF(L76&lt;31,"Adolescent","Invalid")))</f>
        <v>Old</v>
      </c>
      <c r="N76" t="s">
        <v>20</v>
      </c>
    </row>
    <row r="77" spans="1:14">
      <c r="A77">
        <v>12678</v>
      </c>
      <c r="B77" t="s">
        <v>41</v>
      </c>
      <c r="C77" t="s">
        <v>39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>IF(L77&gt;=54,"Old",IF(L77&gt;=31,"Middle age",IF(L77&lt;31,"Adolescent","Invalid")))</f>
        <v>Middle age</v>
      </c>
      <c r="N77" t="s">
        <v>20</v>
      </c>
    </row>
    <row r="78" spans="1:14">
      <c r="A78">
        <v>16188</v>
      </c>
      <c r="B78" t="s">
        <v>41</v>
      </c>
      <c r="C78" t="s">
        <v>39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>IF(L78&gt;=54,"Old",IF(L78&gt;=31,"Middle age",IF(L78&lt;31,"Adolescent","Invalid")))</f>
        <v>Adolescent</v>
      </c>
      <c r="N78" t="s">
        <v>20</v>
      </c>
    </row>
    <row r="79" spans="1:14">
      <c r="A79">
        <v>27969</v>
      </c>
      <c r="B79" t="s">
        <v>38</v>
      </c>
      <c r="C79" t="s">
        <v>40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>IF(L79&gt;=54,"Old",IF(L79&gt;=31,"Middle age",IF(L79&lt;31,"Adolescent","Invalid")))</f>
        <v>Adolescent</v>
      </c>
      <c r="N79" t="s">
        <v>17</v>
      </c>
    </row>
    <row r="80" spans="1:14">
      <c r="A80">
        <v>15752</v>
      </c>
      <c r="B80" t="s">
        <v>38</v>
      </c>
      <c r="C80" t="s">
        <v>40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>IF(L80&gt;=54,"Old",IF(L80&gt;=31,"Middle age",IF(L80&lt;31,"Adolescent","Invalid")))</f>
        <v>Middle age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>IF(L81&gt;=54,"Old",IF(L81&gt;=31,"Middle age",IF(L81&lt;31,"Adolescent","Invalid")))</f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>IF(L82&gt;=54,"Old",IF(L82&gt;=31,"Middle age",IF(L82&lt;31,"Adolescent","Invalid")))</f>
        <v>Middle age</v>
      </c>
      <c r="N82" t="s">
        <v>17</v>
      </c>
    </row>
    <row r="83" spans="1:14">
      <c r="A83">
        <v>19461</v>
      </c>
      <c r="B83" t="s">
        <v>41</v>
      </c>
      <c r="C83" t="s">
        <v>39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>IF(L83&gt;=54,"Old",IF(L83&gt;=31,"Middle age",IF(L83&lt;31,"Adolescent","Invalid")))</f>
        <v>Middle age</v>
      </c>
      <c r="N83" t="s">
        <v>20</v>
      </c>
    </row>
    <row r="84" spans="1:14">
      <c r="A84">
        <v>26941</v>
      </c>
      <c r="B84" t="s">
        <v>38</v>
      </c>
      <c r="C84" t="s">
        <v>40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>IF(L84&gt;=54,"Old",IF(L84&gt;=31,"Middle age",IF(L84&lt;31,"Adolescent","Invalid")))</f>
        <v>Middle age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>IF(L85&gt;=54,"Old",IF(L85&gt;=31,"Middle age",IF(L85&lt;31,"Adolescent","Invalid")))</f>
        <v>Adolescent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>IF(L86&gt;=31,"Middle age",IF(L86&lt;31,"Adolescent","Invalid"))</f>
        <v>Middle age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>IF(L87&gt;=31,"Middle age",IF(L87&lt;31,"Adolescent","Invalid"))</f>
        <v>Adolescent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>IF(L88&gt;=31,"Middle age",IF(L88&lt;31,"Adolescent","Invalid"))</f>
        <v>Middle age</v>
      </c>
      <c r="N88" t="s">
        <v>17</v>
      </c>
    </row>
    <row r="89" spans="1:14">
      <c r="A89">
        <v>19608</v>
      </c>
      <c r="B89" t="s">
        <v>38</v>
      </c>
      <c r="C89" t="s">
        <v>40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>IF(L89&gt;=31,"Middle age",IF(L89&lt;31,"Adolescent","Invalid"))</f>
        <v>Middle age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>IF(L90&gt;=31,"Middle age",IF(L90&lt;31,"Adolescent","Invalid"))</f>
        <v>Adolescent</v>
      </c>
      <c r="N90" t="s">
        <v>20</v>
      </c>
    </row>
    <row r="91" spans="1:14">
      <c r="A91">
        <v>25458</v>
      </c>
      <c r="B91" t="s">
        <v>38</v>
      </c>
      <c r="C91" t="s">
        <v>40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>IF(L92&gt;=31,"Middle age",IF(L91&lt;31,"Adolescent","Invalid"))</f>
        <v>Invalid</v>
      </c>
      <c r="N91" t="s">
        <v>17</v>
      </c>
    </row>
    <row r="92" spans="1:14">
      <c r="A92">
        <v>26886</v>
      </c>
      <c r="B92" t="s">
        <v>41</v>
      </c>
      <c r="C92" t="s">
        <v>39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>IF(L92&gt;=54,"Old",IF(L92&gt;=31,"Middle age",IF(L92&lt;31,"Adolescent","Invalid")))</f>
        <v>Adolescent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>IF(L93&gt;=54,"Old",IF(L93&gt;=31,"Middle age",IF(L93&lt;31,"Adolescent","Invalid")))</f>
        <v>Adolescent</v>
      </c>
      <c r="N93" t="s">
        <v>17</v>
      </c>
    </row>
    <row r="94" spans="1:14">
      <c r="A94">
        <v>19562</v>
      </c>
      <c r="B94" t="s">
        <v>41</v>
      </c>
      <c r="C94" t="s">
        <v>39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>IF(L94&gt;=54,"Old",IF(L94&gt;=31,"Middle age",IF(L94&lt;31,"Adolescent","Invalid")))</f>
        <v>Middle age</v>
      </c>
      <c r="N94" t="s">
        <v>17</v>
      </c>
    </row>
    <row r="95" spans="1:14">
      <c r="A95">
        <v>15608</v>
      </c>
      <c r="B95" t="s">
        <v>41</v>
      </c>
      <c r="C95" t="s">
        <v>39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>IF(L95&gt;=54,"Old",IF(L95&gt;=31,"Middle age",IF(L95&lt;31,"Adolescent","Invalid")))</f>
        <v>Middle age</v>
      </c>
      <c r="N95" t="s">
        <v>20</v>
      </c>
    </row>
    <row r="96" spans="1:14">
      <c r="A96">
        <v>16487</v>
      </c>
      <c r="B96" t="s">
        <v>41</v>
      </c>
      <c r="C96" t="s">
        <v>39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>IF(L96&gt;=54,"Old",IF(L96&gt;=31,"Middle age",IF(L96&lt;31,"Adolescent","Invalid")))</f>
        <v>Old</v>
      </c>
      <c r="N96" t="s">
        <v>20</v>
      </c>
    </row>
    <row r="97" spans="1:14">
      <c r="A97">
        <v>17197</v>
      </c>
      <c r="B97" t="s">
        <v>41</v>
      </c>
      <c r="C97" t="s">
        <v>39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>IF(L97&gt;=54,"Old",IF(L97&gt;=31,"Middle age",IF(L97&lt;31,"Adolescent","Invalid")))</f>
        <v>Old</v>
      </c>
      <c r="N97" t="s">
        <v>20</v>
      </c>
    </row>
    <row r="98" spans="1:14">
      <c r="A98">
        <v>12507</v>
      </c>
      <c r="B98" t="s">
        <v>38</v>
      </c>
      <c r="C98" t="s">
        <v>40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>IF(L98&gt;=54,"Old",IF(L98&gt;=31,"Middle age",IF(L98&lt;31,"Adolescent","Invalid")))</f>
        <v>Middle age</v>
      </c>
      <c r="N98" t="s">
        <v>20</v>
      </c>
    </row>
    <row r="99" spans="1:14">
      <c r="A99">
        <v>23940</v>
      </c>
      <c r="B99" t="s">
        <v>38</v>
      </c>
      <c r="C99" t="s">
        <v>40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>IF(L99&gt;=54,"Old",IF(L99&gt;=31,"Middle age",IF(L99&lt;31,"Adolescent","Invalid")))</f>
        <v>Middle age</v>
      </c>
      <c r="N99" t="s">
        <v>17</v>
      </c>
    </row>
    <row r="100" spans="1:14">
      <c r="A100">
        <v>19441</v>
      </c>
      <c r="B100" t="s">
        <v>38</v>
      </c>
      <c r="C100" t="s">
        <v>40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>IF(L100&gt;=54,"Old",IF(L100&gt;=31,"Middle age",IF(L100&lt;31,"Adolescent","Invalid")))</f>
        <v>Adolescent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>IF(L101&gt;=54,"Old",IF(L101&gt;=31,"Middle age",IF(L101&lt;31,"Adolescent","Invalid")))</f>
        <v>Middle age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>IF(L102&gt;=54,"Old",IF(L102&gt;=31,"Middle age",IF(L102&lt;31,"Adolescent","Invalid")))</f>
        <v>Middle age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>IF(L103&gt;=54,"Old",IF(L103&gt;=31,"Middle age",IF(L103&lt;31,"Adolescent","Invalid")))</f>
        <v>Middle age</v>
      </c>
      <c r="N103" t="s">
        <v>17</v>
      </c>
    </row>
    <row r="104" spans="1:14">
      <c r="A104">
        <v>24149</v>
      </c>
      <c r="B104" t="s">
        <v>38</v>
      </c>
      <c r="C104" t="s">
        <v>40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>IF(L104&gt;=54,"Old",IF(L104&gt;=31,"Middle age",IF(L104&lt;31,"Adolescent","Invalid")))</f>
        <v>Middle age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>IF(L105&gt;=54,"Old",IF(L105&gt;=31,"Middle age",IF(L105&lt;31,"Adolescent","Invalid")))</f>
        <v>Middle age</v>
      </c>
      <c r="N105" t="s">
        <v>20</v>
      </c>
    </row>
    <row r="106" spans="1:14">
      <c r="A106">
        <v>18491</v>
      </c>
      <c r="B106" t="s">
        <v>41</v>
      </c>
      <c r="C106" t="s">
        <v>39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>IF(L106&gt;=54,"Old",IF(L106&gt;=31,"Middle age",IF(L106&lt;31,"Adolescent","Invalid")))</f>
        <v>Middle age</v>
      </c>
      <c r="N106" t="s">
        <v>17</v>
      </c>
    </row>
    <row r="107" spans="1:14">
      <c r="A107">
        <v>22707</v>
      </c>
      <c r="B107" t="s">
        <v>41</v>
      </c>
      <c r="C107" t="s">
        <v>39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>IF(L107&gt;=54,"Old",IF(L107&gt;=31,"Middle age",IF(L107&lt;31,"Adolescent","Invalid")))</f>
        <v>Adolescent</v>
      </c>
      <c r="N107" t="s">
        <v>20</v>
      </c>
    </row>
    <row r="108" spans="1:14">
      <c r="A108">
        <v>20430</v>
      </c>
      <c r="B108" t="s">
        <v>38</v>
      </c>
      <c r="C108" t="s">
        <v>40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>IF(L108&gt;=54,"Old",IF(L108&gt;=31,"Middle age",IF(L108&lt;31,"Adolescent","Invalid")))</f>
        <v>Middle age</v>
      </c>
      <c r="N108" t="s">
        <v>17</v>
      </c>
    </row>
    <row r="109" spans="1:14">
      <c r="A109">
        <v>27494</v>
      </c>
      <c r="B109" t="s">
        <v>41</v>
      </c>
      <c r="C109" t="s">
        <v>39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>IF(L109&gt;=54,"Old",IF(L109&gt;=31,"Middle age",IF(L109&lt;31,"Adolescent","Invalid")))</f>
        <v>Middle age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>IF(L110&gt;=54,"Old",IF(L110&gt;=31,"Middle age",IF(L110&lt;31,"Adolescent","Invalid")))</f>
        <v>Middle age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>IF(L111&gt;=54,"Old",IF(L111&gt;=31,"Middle age",IF(L111&lt;31,"Adolescent","Invalid")))</f>
        <v>Middle age</v>
      </c>
      <c r="N111" t="s">
        <v>17</v>
      </c>
    </row>
    <row r="112" spans="1:14">
      <c r="A112">
        <v>21006</v>
      </c>
      <c r="B112" t="s">
        <v>41</v>
      </c>
      <c r="C112" t="s">
        <v>39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>IF(L112&gt;=54,"Old",IF(L112&gt;=31,"Middle age",IF(L112&lt;31,"Adolescent","Invalid")))</f>
        <v>Middle age</v>
      </c>
      <c r="N112" t="s">
        <v>17</v>
      </c>
    </row>
    <row r="113" spans="1:14">
      <c r="A113">
        <v>14682</v>
      </c>
      <c r="B113" t="s">
        <v>41</v>
      </c>
      <c r="C113" t="s">
        <v>39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>IF(L113&gt;=54,"Old",IF(L113&gt;=31,"Middle age",IF(L113&lt;31,"Adolescent","Invalid")))</f>
        <v>Middle age</v>
      </c>
      <c r="N113" t="s">
        <v>20</v>
      </c>
    </row>
    <row r="114" spans="1:14">
      <c r="A114">
        <v>17650</v>
      </c>
      <c r="B114" t="s">
        <v>41</v>
      </c>
      <c r="C114" t="s">
        <v>39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>IF(L114&gt;=54,"Old",IF(L114&gt;=31,"Middle age",IF(L114&lt;31,"Adolescent","Invalid")))</f>
        <v>Middle age</v>
      </c>
      <c r="N114" t="s">
        <v>20</v>
      </c>
    </row>
    <row r="115" spans="1:14">
      <c r="A115">
        <v>29191</v>
      </c>
      <c r="B115" t="s">
        <v>41</v>
      </c>
      <c r="C115" t="s">
        <v>39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>IF(L115&gt;=54,"Old",IF(L115&gt;=31,"Middle age",IF(L115&lt;31,"Adolescent","Invalid")))</f>
        <v>Middle age</v>
      </c>
      <c r="N115" t="s">
        <v>17</v>
      </c>
    </row>
    <row r="116" spans="1:14">
      <c r="A116">
        <v>15030</v>
      </c>
      <c r="B116" t="s">
        <v>38</v>
      </c>
      <c r="C116" t="s">
        <v>40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>IF(L116&gt;=54,"Old",IF(L116&gt;=31,"Middle age",IF(L116&lt;31,"Adolescent","Invalid")))</f>
        <v>Adolescent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>IF(L117&gt;=31,"Middle age",IF(L117&lt;31,"Adolescent","Invalid"))</f>
        <v>Adolescent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>IF(L118&gt;=31,"Middle age",IF(L118&lt;31,"Adolescent","Invalid"))</f>
        <v>Middle age</v>
      </c>
      <c r="N118" t="s">
        <v>20</v>
      </c>
    </row>
    <row r="119" spans="1:14">
      <c r="A119">
        <v>24065</v>
      </c>
      <c r="B119" t="s">
        <v>41</v>
      </c>
      <c r="C119" t="s">
        <v>39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>IF(L119&gt;=31,"Middle age",IF(L119&lt;31,"Adolescent","Invalid"))</f>
        <v>Middle age</v>
      </c>
      <c r="N119" t="s">
        <v>17</v>
      </c>
    </row>
    <row r="120" spans="1:14">
      <c r="A120">
        <v>19914</v>
      </c>
      <c r="B120" t="s">
        <v>38</v>
      </c>
      <c r="C120" t="s">
        <v>40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>IF(L120&gt;=31,"Middle age",IF(L120&lt;31,"Adolescent","Invalid"))</f>
        <v>Middle age</v>
      </c>
      <c r="N120" t="s">
        <v>20</v>
      </c>
    </row>
    <row r="121" spans="1:14">
      <c r="A121">
        <v>12871</v>
      </c>
      <c r="B121" t="s">
        <v>41</v>
      </c>
      <c r="C121" t="s">
        <v>39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>IF(L121&gt;=31,"Middle age",IF(L121&lt;31,"Adolescent","Invalid"))</f>
        <v>Adolescent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>IF(L123&gt;=31,"Middle age",IF(L122&lt;31,"Adolescent","Invalid"))</f>
        <v>Middle age</v>
      </c>
      <c r="N122" t="s">
        <v>17</v>
      </c>
    </row>
    <row r="123" spans="1:14">
      <c r="A123">
        <v>15922</v>
      </c>
      <c r="B123" t="s">
        <v>38</v>
      </c>
      <c r="C123" t="s">
        <v>40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>IF(L123&gt;=54,"Old",IF(L123&gt;=31,"Middle age",IF(L123&lt;31,"Adolescent","Invalid")))</f>
        <v>Middle age</v>
      </c>
      <c r="N123" t="s">
        <v>20</v>
      </c>
    </row>
    <row r="124" spans="1:14">
      <c r="A124">
        <v>12344</v>
      </c>
      <c r="B124" t="s">
        <v>41</v>
      </c>
      <c r="C124" t="s">
        <v>39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42</v>
      </c>
      <c r="K124" t="s">
        <v>27</v>
      </c>
      <c r="L124">
        <v>31</v>
      </c>
      <c r="M124" t="str">
        <f>IF(L124&gt;=54,"Old",IF(L124&gt;=31,"Middle age",IF(L124&lt;31,"Adolescent","Invalid")))</f>
        <v>Middle age</v>
      </c>
      <c r="N124" t="s">
        <v>20</v>
      </c>
    </row>
    <row r="125" spans="1:14">
      <c r="A125">
        <v>23627</v>
      </c>
      <c r="B125" t="s">
        <v>41</v>
      </c>
      <c r="C125" t="s">
        <v>39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>IF(L125&gt;=54,"Old",IF(L125&gt;=31,"Middle age",IF(L125&lt;31,"Adolescent","Invalid")))</f>
        <v>Old</v>
      </c>
      <c r="N125" t="s">
        <v>20</v>
      </c>
    </row>
    <row r="126" spans="1:14">
      <c r="A126">
        <v>27775</v>
      </c>
      <c r="B126" t="s">
        <v>41</v>
      </c>
      <c r="C126" t="s">
        <v>39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>IF(L126&gt;=54,"Old",IF(L126&gt;=31,"Middle age",IF(L126&lt;31,"Adolescent","Invalid")))</f>
        <v>Middle age</v>
      </c>
      <c r="N126" t="s">
        <v>17</v>
      </c>
    </row>
    <row r="127" spans="1:14">
      <c r="A127">
        <v>29301</v>
      </c>
      <c r="B127" t="s">
        <v>38</v>
      </c>
      <c r="C127" t="s">
        <v>40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>IF(L127&gt;=54,"Old",IF(L127&gt;=31,"Middle age",IF(L127&lt;31,"Adolescent","Invalid")))</f>
        <v>Middle age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>IF(L128&gt;=54,"Old",IF(L128&gt;=31,"Middle age",IF(L128&lt;31,"Adolescent","Invalid")))</f>
        <v>Middle age</v>
      </c>
      <c r="N128" t="s">
        <v>20</v>
      </c>
    </row>
    <row r="129" spans="1:14">
      <c r="A129">
        <v>12472</v>
      </c>
      <c r="B129" t="s">
        <v>38</v>
      </c>
      <c r="C129" t="s">
        <v>40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>IF(L129&gt;=54,"Old",IF(L129&gt;=31,"Middle age",IF(L129&lt;31,"Adolescent","Invalid")))</f>
        <v>Middle age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>IF(L130&gt;=54,"Old",IF(L130&gt;=31,"Middle age",IF(L130&lt;31,"Adolescent","Invalid")))</f>
        <v>Middle age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>IF(L131&gt;=54,"Old",IF(L131&gt;=31,"Middle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38</v>
      </c>
      <c r="C132" t="s">
        <v>40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>IF(L132&gt;=54,"Old",IF(L132&gt;=31,"Middle age",IF(L132&lt;31,"Adolescent","Invalid")))</f>
        <v>Middle age</v>
      </c>
      <c r="N132" t="s">
        <v>20</v>
      </c>
    </row>
    <row r="133" spans="1:14">
      <c r="A133">
        <v>14192</v>
      </c>
      <c r="B133" t="s">
        <v>38</v>
      </c>
      <c r="C133" t="s">
        <v>40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>IF(L133&gt;=54,"Old",IF(L133&gt;=31,"Middle age",IF(L133&lt;31,"Adolescent","Invalid")))</f>
        <v>Old</v>
      </c>
      <c r="N133" t="s">
        <v>17</v>
      </c>
    </row>
    <row r="134" spans="1:14">
      <c r="A134">
        <v>19477</v>
      </c>
      <c r="B134" t="s">
        <v>38</v>
      </c>
      <c r="C134" t="s">
        <v>40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>IF(L134&gt;=54,"Old",IF(L134&gt;=31,"Middle age",IF(L134&lt;31,"Adolescent","Invalid")))</f>
        <v>Middle age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>IF(L135&gt;=54,"Old",IF(L135&gt;=31,"Middle age",IF(L135&lt;31,"Adolescent","Invalid")))</f>
        <v>Old</v>
      </c>
      <c r="N135" t="s">
        <v>17</v>
      </c>
    </row>
    <row r="136" spans="1:14">
      <c r="A136">
        <v>21094</v>
      </c>
      <c r="B136" t="s">
        <v>41</v>
      </c>
      <c r="C136" t="s">
        <v>39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>IF(L136&gt;=31,"Middle age",IF(L136&lt;31,"Adolescent","Invalid"))</f>
        <v>Middle age</v>
      </c>
      <c r="N136" t="s">
        <v>20</v>
      </c>
    </row>
    <row r="137" spans="1:14">
      <c r="A137">
        <v>12234</v>
      </c>
      <c r="B137" t="s">
        <v>38</v>
      </c>
      <c r="C137" t="s">
        <v>40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>IF(L137&gt;=31,"Middle age",IF(L137&lt;31,"Adolescent","Invalid"))</f>
        <v>Middle age</v>
      </c>
      <c r="N137" t="s">
        <v>20</v>
      </c>
    </row>
    <row r="138" spans="1:14">
      <c r="A138">
        <v>28683</v>
      </c>
      <c r="B138" t="s">
        <v>41</v>
      </c>
      <c r="C138" t="s">
        <v>39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>IF(L138&gt;=31,"Middle age",IF(L138&lt;31,"Adolescent","Invalid"))</f>
        <v>Middle age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>IF(L139&gt;=31,"Middle age",IF(L139&lt;31,"Adolescent","Invalid"))</f>
        <v>Middle age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>IF(L140&gt;=31,"Middle age",IF(L140&lt;31,"Adolescent","Invalid"))</f>
        <v>Middle age</v>
      </c>
      <c r="N140" t="s">
        <v>17</v>
      </c>
    </row>
    <row r="141" spans="1:14">
      <c r="A141">
        <v>26547</v>
      </c>
      <c r="B141" t="s">
        <v>41</v>
      </c>
      <c r="C141" t="s">
        <v>39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>IF(L142&gt;=31,"Middle age",IF(L141&lt;31,"Adolescent","Invalid"))</f>
        <v>Middle age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>IF(L142&gt;=54,"Old",IF(L142&gt;=31,"Middle age",IF(L142&lt;31,"Adolescent","Invalid")))</f>
        <v>Middle age</v>
      </c>
      <c r="N142" t="s">
        <v>17</v>
      </c>
    </row>
    <row r="143" spans="1:14">
      <c r="A143">
        <v>23993</v>
      </c>
      <c r="B143" t="s">
        <v>41</v>
      </c>
      <c r="C143" t="s">
        <v>39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>IF(L143&gt;=54,"Old",IF(L143&gt;=31,"Middle age",IF(L143&lt;31,"Adolescent","Invalid")))</f>
        <v>Adolescent</v>
      </c>
      <c r="N143" t="s">
        <v>17</v>
      </c>
    </row>
    <row r="144" spans="1:14">
      <c r="A144">
        <v>14832</v>
      </c>
      <c r="B144" t="s">
        <v>38</v>
      </c>
      <c r="C144" t="s">
        <v>40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>IF(L144&gt;=54,"Old",IF(L144&gt;=31,"Middle age",IF(L144&lt;31,"Adolescent","Invalid")))</f>
        <v>Middle age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42</v>
      </c>
      <c r="K145" t="s">
        <v>27</v>
      </c>
      <c r="L145">
        <v>32</v>
      </c>
      <c r="M145" t="str">
        <f>IF(L145&gt;=54,"Old",IF(L145&gt;=31,"Middle age",IF(L145&lt;31,"Adolescent","Invalid")))</f>
        <v>Middle age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>IF(L146&gt;=54,"Old",IF(L146&gt;=31,"Middle age",IF(L146&lt;31,"Adolescent","Invalid")))</f>
        <v>Middle age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>IF(L147&gt;=54,"Old",IF(L147&gt;=31,"Middle age",IF(L147&lt;31,"Adolescent","Invalid")))</f>
        <v>Middle age</v>
      </c>
      <c r="N147" t="s">
        <v>20</v>
      </c>
    </row>
    <row r="148" spans="1:14">
      <c r="A148">
        <v>22464</v>
      </c>
      <c r="B148" t="s">
        <v>38</v>
      </c>
      <c r="C148" t="s">
        <v>40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>IF(L148&gt;=54,"Old",IF(L148&gt;=31,"Middle age",IF(L148&lt;31,"Adolescent","Invalid")))</f>
        <v>Middle age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>IF(L149&gt;=54,"Old",IF(L149&gt;=31,"Middle age",IF(L149&lt;31,"Adolescent","Invalid")))</f>
        <v>Middle age</v>
      </c>
      <c r="N149" t="s">
        <v>17</v>
      </c>
    </row>
    <row r="150" spans="1:14">
      <c r="A150">
        <v>19675</v>
      </c>
      <c r="B150" t="s">
        <v>38</v>
      </c>
      <c r="C150" t="s">
        <v>40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>IF(L150&gt;=54,"Old",IF(L150&gt;=31,"Middle age",IF(L150&lt;31,"Adolescent","Invalid")))</f>
        <v>Old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>IF(L151&gt;=54,"Old",IF(L151&gt;=31,"Middle age",IF(L151&lt;31,"Adolescent","Invalid")))</f>
        <v>Adolescent</v>
      </c>
      <c r="N151" t="s">
        <v>20</v>
      </c>
    </row>
    <row r="152" spans="1:14">
      <c r="A152">
        <v>26154</v>
      </c>
      <c r="B152" t="s">
        <v>38</v>
      </c>
      <c r="C152" t="s">
        <v>40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>IF(L152&gt;=54,"Old",IF(L152&gt;=31,"Middle age",IF(L152&lt;31,"Adolescent","Invalid")))</f>
        <v>Middle age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>IF(L153&gt;=54,"Old",IF(L153&gt;=31,"Middle age",IF(L153&lt;31,"Adolescent","Invalid")))</f>
        <v>Middle age</v>
      </c>
      <c r="N153" t="s">
        <v>20</v>
      </c>
    </row>
    <row r="154" spans="1:14">
      <c r="A154">
        <v>17845</v>
      </c>
      <c r="B154" t="s">
        <v>41</v>
      </c>
      <c r="C154" t="s">
        <v>39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>IF(L154&gt;=54,"Old",IF(L154&gt;=31,"Middle age",IF(L154&lt;31,"Adolescent","Invalid")))</f>
        <v>Middle age</v>
      </c>
      <c r="N154" t="s">
        <v>20</v>
      </c>
    </row>
    <row r="155" spans="1:14">
      <c r="A155">
        <v>25058</v>
      </c>
      <c r="B155" t="s">
        <v>38</v>
      </c>
      <c r="C155" t="s">
        <v>40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>IF(L155&gt;=54,"Old",IF(L155&gt;=31,"Middle age",IF(L155&lt;31,"Adolescent","Invalid")))</f>
        <v>Middle age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>IF(L156&gt;=54,"Old",IF(L156&gt;=31,"Middle age",IF(L156&lt;31,"Adolescent","Invalid")))</f>
        <v>Middle age</v>
      </c>
      <c r="N156" t="s">
        <v>20</v>
      </c>
    </row>
    <row r="157" spans="1:14">
      <c r="A157">
        <v>14798</v>
      </c>
      <c r="B157" t="s">
        <v>41</v>
      </c>
      <c r="C157" t="s">
        <v>39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>IF(L157&gt;=54,"Old",IF(L157&gt;=31,"Middle age",IF(L157&lt;31,"Adolescent","Invalid")))</f>
        <v>Middle age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>IF(L158&gt;=54,"Old",IF(L158&gt;=31,"Middle age",IF(L158&lt;31,"Adolescent","Invalid")))</f>
        <v>Old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>IF(L159&gt;=54,"Old",IF(L159&gt;=31,"Middle age",IF(L159&lt;31,"Adolescent","Invalid")))</f>
        <v>Middle age</v>
      </c>
      <c r="N159" t="s">
        <v>20</v>
      </c>
    </row>
    <row r="160" spans="1:14">
      <c r="A160">
        <v>25605</v>
      </c>
      <c r="B160" t="s">
        <v>41</v>
      </c>
      <c r="C160" t="s">
        <v>39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>IF(L160&gt;=54,"Old",IF(L160&gt;=31,"Middle age",IF(L160&lt;31,"Adolescent","Invalid")))</f>
        <v>Old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>IF(L161&gt;=54,"Old",IF(L161&gt;=31,"Middle age",IF(L161&lt;31,"Adolescent","Invalid")))</f>
        <v>Middle age</v>
      </c>
      <c r="N161" t="s">
        <v>20</v>
      </c>
    </row>
    <row r="162" spans="1:14">
      <c r="A162">
        <v>21980</v>
      </c>
      <c r="B162" t="s">
        <v>41</v>
      </c>
      <c r="C162" t="s">
        <v>39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>IF(L162&gt;=54,"Old",IF(L162&gt;=31,"Middle age",IF(L162&lt;31,"Adolescent","Invalid")))</f>
        <v>Middle age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>IF(L163&gt;=54,"Old",IF(L163&gt;=31,"Middle age",IF(L163&lt;31,"Adolescent","Invalid")))</f>
        <v>Middle age</v>
      </c>
      <c r="N163" t="s">
        <v>17</v>
      </c>
    </row>
    <row r="164" spans="1:14">
      <c r="A164">
        <v>29181</v>
      </c>
      <c r="B164" t="s">
        <v>41</v>
      </c>
      <c r="C164" t="s">
        <v>39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>IF(L164&gt;=54,"Old",IF(L164&gt;=31,"Middle age",IF(L164&lt;31,"Adolescent","Invalid")))</f>
        <v>Middle age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>IF(L165&gt;=54,"Old",IF(L165&gt;=31,"Middle age",IF(L165&lt;31,"Adolescent","Invalid")))</f>
        <v>Middle age</v>
      </c>
      <c r="N165" t="s">
        <v>20</v>
      </c>
    </row>
    <row r="166" spans="1:14">
      <c r="A166">
        <v>22402</v>
      </c>
      <c r="B166" t="s">
        <v>38</v>
      </c>
      <c r="C166" t="s">
        <v>40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>IF(L166&gt;=54,"Old",IF(L166&gt;=31,"Middle age",IF(L166&lt;31,"Adolescent","Invalid")))</f>
        <v>Adolescent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>IF(L167&gt;=54,"Old",IF(L167&gt;=31,"Middle age",IF(L167&lt;31,"Adolescent","Invalid")))</f>
        <v>Adolescent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>IF(L168&gt;=54,"Old",IF(L168&gt;=31,"Middle age",IF(L168&lt;31,"Adolescent","Invalid")))</f>
        <v>Middle age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42</v>
      </c>
      <c r="K169" t="s">
        <v>27</v>
      </c>
      <c r="L169">
        <v>35</v>
      </c>
      <c r="M169" t="str">
        <f>IF(L169&gt;=54,"Old",IF(L169&gt;=31,"Middle age",IF(L169&lt;31,"Adolescent","Invalid")))</f>
        <v>Middle age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>IF(L170&gt;=31,"Middle age",IF(L170&lt;31,"Adolescent","Invalid"))</f>
        <v>Middle age</v>
      </c>
      <c r="N170" t="s">
        <v>17</v>
      </c>
    </row>
    <row r="171" spans="1:14">
      <c r="A171">
        <v>12273</v>
      </c>
      <c r="B171" t="s">
        <v>38</v>
      </c>
      <c r="C171" t="s">
        <v>40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>IF(L171&gt;=31,"Middle age",IF(L171&lt;31,"Adolescent","Invalid"))</f>
        <v>Middle age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>IF(L172&gt;=31,"Middle age",IF(L172&lt;31,"Adolescent","Invalid"))</f>
        <v>Middle age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>IF(L173&gt;=31,"Middle age",IF(L173&lt;31,"Adolescent","Invalid"))</f>
        <v>Middle age</v>
      </c>
      <c r="N173" t="s">
        <v>20</v>
      </c>
    </row>
    <row r="174" spans="1:14">
      <c r="A174">
        <v>23963</v>
      </c>
      <c r="B174" t="s">
        <v>38</v>
      </c>
      <c r="C174" t="s">
        <v>40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>IF(L174&gt;=31,"Middle age",IF(L174&lt;31,"Adolescent","Invalid"))</f>
        <v>Middle age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>IF(L176&gt;=31,"Middle age",IF(L175&lt;31,"Adolescent","Invalid"))</f>
        <v>Middle age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>IF(L176&gt;=54,"Old",IF(L176&gt;=31,"Middle age",IF(L176&lt;31,"Adolescent","Invalid")))</f>
        <v>Middle age</v>
      </c>
      <c r="N176" t="s">
        <v>17</v>
      </c>
    </row>
    <row r="177" spans="1:14">
      <c r="A177">
        <v>17504</v>
      </c>
      <c r="B177" t="s">
        <v>41</v>
      </c>
      <c r="C177" t="s">
        <v>39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>IF(L177&gt;=54,"Old",IF(L177&gt;=31,"Middle age",IF(L177&lt;31,"Adolescent","Invalid")))</f>
        <v>Middle age</v>
      </c>
      <c r="N177" t="s">
        <v>17</v>
      </c>
    </row>
    <row r="178" spans="1:14">
      <c r="A178">
        <v>12253</v>
      </c>
      <c r="B178" t="s">
        <v>41</v>
      </c>
      <c r="C178" t="s">
        <v>39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>IF(L178&gt;=54,"Old",IF(L178&gt;=31,"Middle age",IF(L178&lt;31,"Adolescent","Invalid")))</f>
        <v>Adolescent</v>
      </c>
      <c r="N178" t="s">
        <v>17</v>
      </c>
    </row>
    <row r="179" spans="1:14">
      <c r="A179">
        <v>27304</v>
      </c>
      <c r="B179" t="s">
        <v>41</v>
      </c>
      <c r="C179" t="s">
        <v>39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>IF(L179&gt;=54,"Old",IF(L179&gt;=31,"Middle age",IF(L179&lt;31,"Adolescent","Invalid")))</f>
        <v>Middle age</v>
      </c>
      <c r="N179" t="s">
        <v>20</v>
      </c>
    </row>
    <row r="180" spans="1:14">
      <c r="A180">
        <v>14191</v>
      </c>
      <c r="B180" t="s">
        <v>38</v>
      </c>
      <c r="C180" t="s">
        <v>40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42</v>
      </c>
      <c r="K180" t="s">
        <v>19</v>
      </c>
      <c r="L180">
        <v>55</v>
      </c>
      <c r="M180" t="str">
        <f>IF(L180&gt;=54,"Old",IF(L180&gt;=31,"Middle age",IF(L180&lt;31,"Adolescent","Invalid")))</f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>IF(L181&gt;=54,"Old",IF(L181&gt;=31,"Middle age",IF(L181&lt;31,"Adolescent","Invalid")))</f>
        <v>Middle age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>IF(L182&gt;=54,"Old",IF(L182&gt;=31,"Middle age",IF(L182&lt;31,"Adolescent","Invalid")))</f>
        <v>Middle age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>IF(L183&gt;=54,"Old",IF(L183&gt;=31,"Middle age",IF(L183&lt;31,"Adolescent","Invalid")))</f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>IF(L184&gt;=54,"Old",IF(L184&gt;=31,"Middle age",IF(L184&lt;31,"Adolescent","Invalid")))</f>
        <v>Middle age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>IF(L185&gt;=54,"Old",IF(L185&gt;=31,"Middle age",IF(L185&lt;31,"Adolescent","Invalid")))</f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42</v>
      </c>
      <c r="K186" t="s">
        <v>19</v>
      </c>
      <c r="L186">
        <v>58</v>
      </c>
      <c r="M186" t="str">
        <f>IF(L186&gt;=54,"Old",IF(L186&gt;=31,"Middle age",IF(L186&lt;31,"Adolescent","Invalid")))</f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>IF(L187&gt;=54,"Old",IF(L187&gt;=31,"Middle age",IF(L187&lt;31,"Adolescent","Invalid")))</f>
        <v>Middle age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>IF(L188&gt;=54,"Old",IF(L188&gt;=31,"Middle age",IF(L188&lt;31,"Adolescent","Invalid")))</f>
        <v>Old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42</v>
      </c>
      <c r="K189" t="s">
        <v>19</v>
      </c>
      <c r="L189">
        <v>59</v>
      </c>
      <c r="M189" t="str">
        <f t="shared" ref="M189:M194" si="1">IF(L189&gt;=54,"Old",IF(L189&gt;=31,"Middle age",IF(L189&lt;31,"Adolescent","Invalid")))</f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42</v>
      </c>
      <c r="K190" t="s">
        <v>27</v>
      </c>
      <c r="L190">
        <v>32</v>
      </c>
      <c r="M190" t="str">
        <f t="shared" si="1"/>
        <v>Middle age</v>
      </c>
      <c r="N190" t="s">
        <v>17</v>
      </c>
    </row>
    <row r="191" spans="1:14">
      <c r="A191">
        <v>19482</v>
      </c>
      <c r="B191" t="s">
        <v>38</v>
      </c>
      <c r="C191" t="s">
        <v>40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1"/>
        <v>Middle age</v>
      </c>
      <c r="N191" t="s">
        <v>17</v>
      </c>
    </row>
    <row r="192" spans="1:14">
      <c r="A192">
        <v>16489</v>
      </c>
      <c r="B192" t="s">
        <v>38</v>
      </c>
      <c r="C192" t="s">
        <v>40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1"/>
        <v>Old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1"/>
        <v>Middle age</v>
      </c>
      <c r="N193" t="s">
        <v>17</v>
      </c>
    </row>
    <row r="194" spans="1:14">
      <c r="A194">
        <v>15682</v>
      </c>
      <c r="B194" t="s">
        <v>41</v>
      </c>
      <c r="C194" t="s">
        <v>39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42</v>
      </c>
      <c r="K194" t="s">
        <v>19</v>
      </c>
      <c r="L194">
        <v>62</v>
      </c>
      <c r="M194" t="str">
        <f t="shared" si="1"/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42</v>
      </c>
      <c r="K195" t="s">
        <v>27</v>
      </c>
      <c r="L195">
        <v>41</v>
      </c>
      <c r="M195" t="str">
        <f t="shared" ref="M195:M211" si="2">IF(L195&gt;=54,"Old",IF(L195&gt;=31,"Middle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41</v>
      </c>
      <c r="C196" t="s">
        <v>39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2"/>
        <v>Middle age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2"/>
        <v>Adolescent</v>
      </c>
      <c r="N197" t="s">
        <v>17</v>
      </c>
    </row>
    <row r="198" spans="1:14">
      <c r="A198">
        <v>16209</v>
      </c>
      <c r="B198" t="s">
        <v>41</v>
      </c>
      <c r="C198" t="s">
        <v>39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2"/>
        <v>Middle age</v>
      </c>
      <c r="N198" t="s">
        <v>20</v>
      </c>
    </row>
    <row r="199" spans="1:14">
      <c r="A199">
        <v>11147</v>
      </c>
      <c r="B199" t="s">
        <v>38</v>
      </c>
      <c r="C199" t="s">
        <v>40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2"/>
        <v>Old</v>
      </c>
      <c r="N199" t="s">
        <v>17</v>
      </c>
    </row>
    <row r="200" spans="1:14">
      <c r="A200">
        <v>15214</v>
      </c>
      <c r="B200" t="s">
        <v>41</v>
      </c>
      <c r="C200" t="s">
        <v>39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2"/>
        <v>Middle age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42</v>
      </c>
      <c r="K201" t="s">
        <v>27</v>
      </c>
      <c r="L201">
        <v>33</v>
      </c>
      <c r="M201" t="str">
        <f t="shared" si="2"/>
        <v>Middle age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2"/>
        <v>Middle age</v>
      </c>
      <c r="N202" t="s">
        <v>20</v>
      </c>
    </row>
    <row r="203" spans="1:14">
      <c r="A203">
        <v>12585</v>
      </c>
      <c r="B203" t="s">
        <v>38</v>
      </c>
      <c r="C203" t="s">
        <v>40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2"/>
        <v>Adolescent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2"/>
        <v>Middle age</v>
      </c>
      <c r="N204" t="s">
        <v>17</v>
      </c>
    </row>
    <row r="205" spans="1:14">
      <c r="A205">
        <v>29298</v>
      </c>
      <c r="B205" t="s">
        <v>41</v>
      </c>
      <c r="C205" t="s">
        <v>39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2"/>
        <v>Middle age</v>
      </c>
      <c r="N205" t="s">
        <v>17</v>
      </c>
    </row>
    <row r="206" spans="1:14">
      <c r="A206">
        <v>24842</v>
      </c>
      <c r="B206" t="s">
        <v>41</v>
      </c>
      <c r="C206" t="s">
        <v>39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2"/>
        <v>Middle age</v>
      </c>
      <c r="N206" t="s">
        <v>20</v>
      </c>
    </row>
    <row r="207" spans="1:14">
      <c r="A207">
        <v>15657</v>
      </c>
      <c r="B207" t="s">
        <v>38</v>
      </c>
      <c r="C207" t="s">
        <v>40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2"/>
        <v>Middle age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42</v>
      </c>
      <c r="K208" t="s">
        <v>19</v>
      </c>
      <c r="L208">
        <v>62</v>
      </c>
      <c r="M208" t="str">
        <f t="shared" si="2"/>
        <v>Old</v>
      </c>
      <c r="N208" t="s">
        <v>20</v>
      </c>
    </row>
    <row r="209" spans="1:14">
      <c r="A209">
        <v>28729</v>
      </c>
      <c r="B209" t="s">
        <v>41</v>
      </c>
      <c r="C209" t="s">
        <v>39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2"/>
        <v>Adolescent</v>
      </c>
      <c r="N209" t="s">
        <v>17</v>
      </c>
    </row>
    <row r="210" spans="1:14">
      <c r="A210">
        <v>22633</v>
      </c>
      <c r="B210" t="s">
        <v>41</v>
      </c>
      <c r="C210" t="s">
        <v>39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2"/>
        <v>Middle age</v>
      </c>
      <c r="N210" t="s">
        <v>17</v>
      </c>
    </row>
    <row r="211" spans="1:14">
      <c r="A211">
        <v>25649</v>
      </c>
      <c r="B211" t="s">
        <v>41</v>
      </c>
      <c r="C211" t="s">
        <v>39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2"/>
        <v>Middle age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ref="M212:M234" si="3">IF(L212&gt;=54,"Old",IF(L212&gt;=31,"Middle age",IF(L212&lt;31,"Adolescent","Invalid")))</f>
        <v>Middle age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41</v>
      </c>
      <c r="C214" t="s">
        <v>39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42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38</v>
      </c>
      <c r="C216" t="s">
        <v>40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Old</v>
      </c>
      <c r="N217" t="s">
        <v>17</v>
      </c>
    </row>
    <row r="218" spans="1:14">
      <c r="A218">
        <v>25026</v>
      </c>
      <c r="B218" t="s">
        <v>38</v>
      </c>
      <c r="C218" t="s">
        <v>40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Old</v>
      </c>
      <c r="N218" t="s">
        <v>20</v>
      </c>
    </row>
    <row r="219" spans="1:14">
      <c r="A219">
        <v>13673</v>
      </c>
      <c r="B219" t="s">
        <v>41</v>
      </c>
      <c r="C219" t="s">
        <v>39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38</v>
      </c>
      <c r="C222" t="s">
        <v>40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41</v>
      </c>
      <c r="C225" t="s">
        <v>39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42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38</v>
      </c>
      <c r="C227" t="s">
        <v>40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41</v>
      </c>
      <c r="C228" t="s">
        <v>39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38</v>
      </c>
      <c r="C229" t="s">
        <v>40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42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38</v>
      </c>
      <c r="C232" t="s">
        <v>40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42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38</v>
      </c>
      <c r="C235" t="s">
        <v>40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ref="M235:M254" si="4">IF(L235&gt;=54,"Old",IF(L235&gt;=31,"Middle age",IF(L235&lt;31,"Adolescent","Invalid")))</f>
        <v>Adolescent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42</v>
      </c>
      <c r="K236" t="s">
        <v>27</v>
      </c>
      <c r="L236">
        <v>35</v>
      </c>
      <c r="M236" t="str">
        <f t="shared" si="4"/>
        <v>Middle age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4"/>
        <v>Old</v>
      </c>
      <c r="N237" t="s">
        <v>17</v>
      </c>
    </row>
    <row r="238" spans="1:14">
      <c r="A238">
        <v>25693</v>
      </c>
      <c r="B238" t="s">
        <v>41</v>
      </c>
      <c r="C238" t="s">
        <v>39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4"/>
        <v>Middle age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4"/>
        <v>Adolescent</v>
      </c>
      <c r="N239" t="s">
        <v>17</v>
      </c>
    </row>
    <row r="240" spans="1:14">
      <c r="A240">
        <v>22006</v>
      </c>
      <c r="B240" t="s">
        <v>38</v>
      </c>
      <c r="C240" t="s">
        <v>40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4"/>
        <v>Middle age</v>
      </c>
      <c r="N240" t="s">
        <v>20</v>
      </c>
    </row>
    <row r="241" spans="1:14">
      <c r="A241">
        <v>20060</v>
      </c>
      <c r="B241" t="s">
        <v>41</v>
      </c>
      <c r="C241" t="s">
        <v>39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4"/>
        <v>Middle age</v>
      </c>
      <c r="N241" t="s">
        <v>17</v>
      </c>
    </row>
    <row r="242" spans="1:14">
      <c r="A242">
        <v>17702</v>
      </c>
      <c r="B242" t="s">
        <v>38</v>
      </c>
      <c r="C242" t="s">
        <v>40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4"/>
        <v>Middle age</v>
      </c>
      <c r="N242" t="s">
        <v>20</v>
      </c>
    </row>
    <row r="243" spans="1:14">
      <c r="A243">
        <v>12503</v>
      </c>
      <c r="B243" t="s">
        <v>41</v>
      </c>
      <c r="C243" t="s">
        <v>39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4"/>
        <v>Adolescent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4"/>
        <v>Middle age</v>
      </c>
      <c r="N244" t="s">
        <v>17</v>
      </c>
    </row>
    <row r="245" spans="1:14">
      <c r="A245">
        <v>22527</v>
      </c>
      <c r="B245" t="s">
        <v>41</v>
      </c>
      <c r="C245" t="s">
        <v>39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4"/>
        <v>Adolescent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42</v>
      </c>
      <c r="K246" t="s">
        <v>19</v>
      </c>
      <c r="L246">
        <v>52</v>
      </c>
      <c r="M246" t="str">
        <f t="shared" si="4"/>
        <v>Middle age</v>
      </c>
      <c r="N246" t="s">
        <v>17</v>
      </c>
    </row>
    <row r="247" spans="1:14">
      <c r="A247">
        <v>18494</v>
      </c>
      <c r="B247" t="s">
        <v>38</v>
      </c>
      <c r="C247" t="s">
        <v>40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4"/>
        <v>Middle age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4"/>
        <v>Middle age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42</v>
      </c>
      <c r="K249" t="s">
        <v>27</v>
      </c>
      <c r="L249">
        <v>34</v>
      </c>
      <c r="M249" t="str">
        <f t="shared" si="4"/>
        <v>Middle age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4"/>
        <v>Old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4"/>
        <v>Middle age</v>
      </c>
      <c r="N251" t="s">
        <v>17</v>
      </c>
    </row>
    <row r="252" spans="1:14">
      <c r="A252">
        <v>22931</v>
      </c>
      <c r="B252" t="s">
        <v>38</v>
      </c>
      <c r="C252" t="s">
        <v>40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4"/>
        <v>Old</v>
      </c>
      <c r="N252" t="s">
        <v>17</v>
      </c>
    </row>
    <row r="253" spans="1:14">
      <c r="A253">
        <v>18172</v>
      </c>
      <c r="B253" t="s">
        <v>38</v>
      </c>
      <c r="C253" t="s">
        <v>40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4"/>
        <v>Old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4"/>
        <v>Middle age</v>
      </c>
      <c r="N254" t="s">
        <v>20</v>
      </c>
    </row>
    <row r="255" spans="1:14">
      <c r="A255">
        <v>20598</v>
      </c>
      <c r="B255" t="s">
        <v>38</v>
      </c>
      <c r="C255" t="s">
        <v>40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42</v>
      </c>
      <c r="K255" t="s">
        <v>19</v>
      </c>
      <c r="L255">
        <v>59</v>
      </c>
      <c r="M255" t="str">
        <f>IF(L255&gt;=54,"Old",IF(L255&gt;=31,"Middle age",IF(L255&lt;31,"Adolescent","Invalid")))</f>
        <v>Old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>IF(L256&gt;=54,"Old",IF(L256&gt;=31,"Middle age",IF(L256&lt;31,"Adolescent","Invalid")))</f>
        <v>Old</v>
      </c>
      <c r="N256" t="s">
        <v>20</v>
      </c>
    </row>
    <row r="257" spans="1:14">
      <c r="A257">
        <v>20839</v>
      </c>
      <c r="B257" t="s">
        <v>41</v>
      </c>
      <c r="C257" t="s">
        <v>39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>IF(L257&gt;=54,"Old",IF(L257&gt;=31,"Middle age",IF(L257&lt;31,"Adolescent","Invalid")))</f>
        <v>Middle age</v>
      </c>
      <c r="N257" t="s">
        <v>17</v>
      </c>
    </row>
    <row r="258" spans="1:14">
      <c r="A258">
        <v>21738</v>
      </c>
      <c r="B258" t="s">
        <v>38</v>
      </c>
      <c r="C258" t="s">
        <v>40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>IF(L258&gt;=54,"Old",IF(L258&gt;=31,"Middle age",IF(L258&lt;31,"Adolescent","Invalid")))</f>
        <v>Middle age</v>
      </c>
      <c r="N258" t="s">
        <v>20</v>
      </c>
    </row>
    <row r="259" spans="1:14">
      <c r="A259">
        <v>14164</v>
      </c>
      <c r="B259" t="s">
        <v>41</v>
      </c>
      <c r="C259" t="s">
        <v>39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>IF(L259&gt;=54,"Old",IF(L259&gt;=31,"Middle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41</v>
      </c>
      <c r="C260" t="s">
        <v>39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42</v>
      </c>
      <c r="K260" t="s">
        <v>19</v>
      </c>
      <c r="L260">
        <v>56</v>
      </c>
      <c r="M260" t="str">
        <f>IF(L260&gt;=54,"Old",IF(L260&gt;=31,"Middle age",IF(L260&lt;31,"Adolescent","Invalid")))</f>
        <v>Old</v>
      </c>
      <c r="N260" t="s">
        <v>20</v>
      </c>
    </row>
    <row r="261" spans="1:14">
      <c r="A261">
        <v>12705</v>
      </c>
      <c r="B261" t="s">
        <v>38</v>
      </c>
      <c r="C261" t="s">
        <v>40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ref="M261:M274" si="5">IF(L261&gt;=54,"Old",IF(L261&gt;=31,"Middle age",IF(L261&lt;31,"Adolescent","Invalid")))</f>
        <v>Middle age</v>
      </c>
      <c r="N261" t="s">
        <v>17</v>
      </c>
    </row>
    <row r="262" spans="1:14">
      <c r="A262">
        <v>22672</v>
      </c>
      <c r="B262" t="s">
        <v>41</v>
      </c>
      <c r="C262" t="s">
        <v>39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5"/>
        <v>Middle age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5"/>
        <v>Middle age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5"/>
        <v>Middle age</v>
      </c>
      <c r="N264" t="s">
        <v>20</v>
      </c>
    </row>
    <row r="265" spans="1:14">
      <c r="A265">
        <v>23419</v>
      </c>
      <c r="B265" t="s">
        <v>41</v>
      </c>
      <c r="C265" t="s">
        <v>39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42</v>
      </c>
      <c r="K265" t="s">
        <v>27</v>
      </c>
      <c r="L265">
        <v>39</v>
      </c>
      <c r="M265" t="str">
        <f t="shared" si="5"/>
        <v>Middle age</v>
      </c>
      <c r="N265" t="s">
        <v>20</v>
      </c>
    </row>
    <row r="266" spans="1:14">
      <c r="A266">
        <v>17964</v>
      </c>
      <c r="B266" t="s">
        <v>38</v>
      </c>
      <c r="C266" t="s">
        <v>40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5"/>
        <v>Middle age</v>
      </c>
      <c r="N266" t="s">
        <v>17</v>
      </c>
    </row>
    <row r="267" spans="1:14">
      <c r="A267">
        <v>20919</v>
      </c>
      <c r="B267" t="s">
        <v>41</v>
      </c>
      <c r="C267" t="s">
        <v>39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5"/>
        <v>Middle age</v>
      </c>
      <c r="N267" t="s">
        <v>20</v>
      </c>
    </row>
    <row r="268" spans="1:14">
      <c r="A268">
        <v>20927</v>
      </c>
      <c r="B268" t="s">
        <v>41</v>
      </c>
      <c r="C268" t="s">
        <v>39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5"/>
        <v>Adolescent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5"/>
        <v>Middle age</v>
      </c>
      <c r="N269" t="s">
        <v>17</v>
      </c>
    </row>
    <row r="270" spans="1:14">
      <c r="A270">
        <v>19626</v>
      </c>
      <c r="B270" t="s">
        <v>38</v>
      </c>
      <c r="C270" t="s">
        <v>40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5"/>
        <v>Middle age</v>
      </c>
      <c r="N270" t="s">
        <v>20</v>
      </c>
    </row>
    <row r="271" spans="1:14">
      <c r="A271">
        <v>21039</v>
      </c>
      <c r="B271" t="s">
        <v>41</v>
      </c>
      <c r="C271" t="s">
        <v>39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5"/>
        <v>Middle age</v>
      </c>
      <c r="N271" t="s">
        <v>17</v>
      </c>
    </row>
    <row r="272" spans="1:14">
      <c r="A272">
        <v>12231</v>
      </c>
      <c r="B272" t="s">
        <v>41</v>
      </c>
      <c r="C272" t="s">
        <v>39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5"/>
        <v>Middle age</v>
      </c>
      <c r="N272" t="s">
        <v>17</v>
      </c>
    </row>
    <row r="273" spans="1:14">
      <c r="A273">
        <v>25665</v>
      </c>
      <c r="B273" t="s">
        <v>41</v>
      </c>
      <c r="C273" t="s">
        <v>39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5"/>
        <v>Adolescent</v>
      </c>
      <c r="N273" t="s">
        <v>20</v>
      </c>
    </row>
    <row r="274" spans="1:14">
      <c r="A274">
        <v>24061</v>
      </c>
      <c r="B274" t="s">
        <v>38</v>
      </c>
      <c r="C274" t="s">
        <v>40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5"/>
        <v>Middle age</v>
      </c>
      <c r="N274" t="s">
        <v>17</v>
      </c>
    </row>
    <row r="275" spans="1:14">
      <c r="A275">
        <v>26879</v>
      </c>
      <c r="B275" t="s">
        <v>41</v>
      </c>
      <c r="C275" t="s">
        <v>39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ref="M275:M297" si="6">IF(L275&gt;=54,"Old",IF(L275&gt;=31,"Middle age",IF(L275&lt;31,"Adolescent","Invalid")))</f>
        <v>Adolescent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6"/>
        <v>Middle age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6"/>
        <v>Middle age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6"/>
        <v>Middle age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6"/>
        <v>Middle age</v>
      </c>
      <c r="N279" t="s">
        <v>17</v>
      </c>
    </row>
    <row r="280" spans="1:14">
      <c r="A280">
        <v>20625</v>
      </c>
      <c r="B280" t="s">
        <v>38</v>
      </c>
      <c r="C280" t="s">
        <v>40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42</v>
      </c>
      <c r="K280" t="s">
        <v>27</v>
      </c>
      <c r="L280">
        <v>35</v>
      </c>
      <c r="M280" t="str">
        <f t="shared" si="6"/>
        <v>Middle age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6"/>
        <v>Middle age</v>
      </c>
      <c r="N281" t="s">
        <v>17</v>
      </c>
    </row>
    <row r="282" spans="1:14">
      <c r="A282">
        <v>14804</v>
      </c>
      <c r="B282" t="s">
        <v>41</v>
      </c>
      <c r="C282" t="s">
        <v>39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6"/>
        <v>Middle age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6"/>
        <v>Middle age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6"/>
        <v>Middle age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6"/>
        <v>Middle age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6"/>
        <v>Middle age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6"/>
        <v>Middle age</v>
      </c>
      <c r="N287" t="s">
        <v>20</v>
      </c>
    </row>
    <row r="288" spans="1:14">
      <c r="A288">
        <v>29120</v>
      </c>
      <c r="B288" t="s">
        <v>41</v>
      </c>
      <c r="C288" t="s">
        <v>39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6"/>
        <v>Middle age</v>
      </c>
      <c r="N288" t="s">
        <v>20</v>
      </c>
    </row>
    <row r="289" spans="1:14">
      <c r="A289">
        <v>24187</v>
      </c>
      <c r="B289" t="s">
        <v>41</v>
      </c>
      <c r="C289" t="s">
        <v>39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6"/>
        <v>Middle age</v>
      </c>
      <c r="N289" t="s">
        <v>17</v>
      </c>
    </row>
    <row r="290" spans="1:14">
      <c r="A290">
        <v>15758</v>
      </c>
      <c r="B290" t="s">
        <v>38</v>
      </c>
      <c r="C290" t="s">
        <v>40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6"/>
        <v>Middle age</v>
      </c>
      <c r="N290" t="s">
        <v>20</v>
      </c>
    </row>
    <row r="291" spans="1:14">
      <c r="A291">
        <v>29094</v>
      </c>
      <c r="B291" t="s">
        <v>38</v>
      </c>
      <c r="C291" t="s">
        <v>40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6"/>
        <v>Old</v>
      </c>
      <c r="N291" t="s">
        <v>17</v>
      </c>
    </row>
    <row r="292" spans="1:14">
      <c r="A292">
        <v>28319</v>
      </c>
      <c r="B292" t="s">
        <v>41</v>
      </c>
      <c r="C292" t="s">
        <v>39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6"/>
        <v>Middle age</v>
      </c>
      <c r="N292" t="s">
        <v>17</v>
      </c>
    </row>
    <row r="293" spans="1:14">
      <c r="A293">
        <v>16406</v>
      </c>
      <c r="B293" t="s">
        <v>38</v>
      </c>
      <c r="C293" t="s">
        <v>40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6"/>
        <v>Middle age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6"/>
        <v>Middle age</v>
      </c>
      <c r="N294" t="s">
        <v>17</v>
      </c>
    </row>
    <row r="295" spans="1:14">
      <c r="A295">
        <v>11378</v>
      </c>
      <c r="B295" t="s">
        <v>41</v>
      </c>
      <c r="C295" t="s">
        <v>39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6"/>
        <v>Middle age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6"/>
        <v>Middle age</v>
      </c>
      <c r="N296" t="s">
        <v>17</v>
      </c>
    </row>
    <row r="297" spans="1:14">
      <c r="A297">
        <v>21557</v>
      </c>
      <c r="B297" t="s">
        <v>41</v>
      </c>
      <c r="C297" t="s">
        <v>39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42</v>
      </c>
      <c r="K297" t="s">
        <v>27</v>
      </c>
      <c r="L297">
        <v>32</v>
      </c>
      <c r="M297" t="str">
        <f t="shared" si="6"/>
        <v>Middle age</v>
      </c>
      <c r="N297" t="s">
        <v>17</v>
      </c>
    </row>
    <row r="298" spans="1:14">
      <c r="A298">
        <v>26663</v>
      </c>
      <c r="B298" t="s">
        <v>41</v>
      </c>
      <c r="C298" t="s">
        <v>39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ref="M298:M317" si="7">IF(L298&gt;=54,"Old",IF(L298&gt;=31,"Middle age",IF(L298&lt;31,"Adolescent","Invalid")))</f>
        <v>Middle age</v>
      </c>
      <c r="N298" t="s">
        <v>17</v>
      </c>
    </row>
    <row r="299" spans="1:14">
      <c r="A299">
        <v>11896</v>
      </c>
      <c r="B299" t="s">
        <v>38</v>
      </c>
      <c r="C299" t="s">
        <v>40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7"/>
        <v>Middle age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7"/>
        <v>Old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7"/>
        <v>Old</v>
      </c>
      <c r="N301" t="s">
        <v>20</v>
      </c>
    </row>
    <row r="302" spans="1:14">
      <c r="A302">
        <v>25906</v>
      </c>
      <c r="B302" t="s">
        <v>41</v>
      </c>
      <c r="C302" t="s">
        <v>39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7"/>
        <v>Old</v>
      </c>
      <c r="N302" t="s">
        <v>20</v>
      </c>
    </row>
    <row r="303" spans="1:14">
      <c r="A303">
        <v>17926</v>
      </c>
      <c r="B303" t="s">
        <v>41</v>
      </c>
      <c r="C303" t="s">
        <v>39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7"/>
        <v>Adolescent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7"/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7"/>
        <v>Middle age</v>
      </c>
      <c r="N305" t="s">
        <v>20</v>
      </c>
    </row>
    <row r="306" spans="1:14">
      <c r="A306">
        <v>28207</v>
      </c>
      <c r="B306" t="s">
        <v>38</v>
      </c>
      <c r="C306" t="s">
        <v>40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7"/>
        <v>Middle age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7"/>
        <v>Old</v>
      </c>
      <c r="N307" t="s">
        <v>20</v>
      </c>
    </row>
    <row r="308" spans="1:14">
      <c r="A308">
        <v>11000</v>
      </c>
      <c r="B308" t="s">
        <v>38</v>
      </c>
      <c r="C308" t="s">
        <v>40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7"/>
        <v>Middle age</v>
      </c>
      <c r="N308" t="s">
        <v>17</v>
      </c>
    </row>
    <row r="309" spans="1:14">
      <c r="A309">
        <v>20974</v>
      </c>
      <c r="B309" t="s">
        <v>38</v>
      </c>
      <c r="C309" t="s">
        <v>40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7"/>
        <v>Old</v>
      </c>
      <c r="N309" t="s">
        <v>20</v>
      </c>
    </row>
    <row r="310" spans="1:14">
      <c r="A310">
        <v>28758</v>
      </c>
      <c r="B310" t="s">
        <v>38</v>
      </c>
      <c r="C310" t="s">
        <v>40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7"/>
        <v>Middle age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7"/>
        <v>Middle age</v>
      </c>
      <c r="N311" t="s">
        <v>17</v>
      </c>
    </row>
    <row r="312" spans="1:14">
      <c r="A312">
        <v>17522</v>
      </c>
      <c r="B312" t="s">
        <v>38</v>
      </c>
      <c r="C312" t="s">
        <v>40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7"/>
        <v>Middle age</v>
      </c>
      <c r="N312" t="s">
        <v>20</v>
      </c>
    </row>
    <row r="313" spans="1:14">
      <c r="A313">
        <v>21207</v>
      </c>
      <c r="B313" t="s">
        <v>38</v>
      </c>
      <c r="C313" t="s">
        <v>40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7"/>
        <v>Middle age</v>
      </c>
      <c r="N313" t="s">
        <v>20</v>
      </c>
    </row>
    <row r="314" spans="1:14">
      <c r="A314">
        <v>28102</v>
      </c>
      <c r="B314" t="s">
        <v>38</v>
      </c>
      <c r="C314" t="s">
        <v>40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7"/>
        <v>Old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7"/>
        <v>Middle age</v>
      </c>
      <c r="N315" t="s">
        <v>17</v>
      </c>
    </row>
    <row r="316" spans="1:14">
      <c r="A316">
        <v>18740</v>
      </c>
      <c r="B316" t="s">
        <v>38</v>
      </c>
      <c r="C316" t="s">
        <v>40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7"/>
        <v>Middle age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7"/>
        <v>Middle age</v>
      </c>
      <c r="N317" t="s">
        <v>20</v>
      </c>
    </row>
    <row r="318" spans="1:14">
      <c r="A318">
        <v>17352</v>
      </c>
      <c r="B318" t="s">
        <v>38</v>
      </c>
      <c r="C318" t="s">
        <v>40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ref="M318:M332" si="8">IF(L318&gt;=54,"Old",IF(L318&gt;=31,"Middle age",IF(L318&lt;31,"Adolescent","Invalid")))</f>
        <v>Old</v>
      </c>
      <c r="N318" t="s">
        <v>17</v>
      </c>
    </row>
    <row r="319" spans="1:14">
      <c r="A319">
        <v>14154</v>
      </c>
      <c r="B319" t="s">
        <v>38</v>
      </c>
      <c r="C319" t="s">
        <v>40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8"/>
        <v>Middle age</v>
      </c>
      <c r="N319" t="s">
        <v>17</v>
      </c>
    </row>
    <row r="320" spans="1:14">
      <c r="A320">
        <v>19066</v>
      </c>
      <c r="B320" t="s">
        <v>38</v>
      </c>
      <c r="C320" t="s">
        <v>40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42</v>
      </c>
      <c r="K320" t="s">
        <v>19</v>
      </c>
      <c r="L320">
        <v>54</v>
      </c>
      <c r="M320" t="str">
        <f t="shared" si="8"/>
        <v>Old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8"/>
        <v>Middle age</v>
      </c>
      <c r="N321" t="s">
        <v>20</v>
      </c>
    </row>
    <row r="322" spans="1:14">
      <c r="A322">
        <v>20228</v>
      </c>
      <c r="B322" t="s">
        <v>38</v>
      </c>
      <c r="C322" t="s">
        <v>40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8"/>
        <v>Middle age</v>
      </c>
      <c r="N322" t="s">
        <v>17</v>
      </c>
    </row>
    <row r="323" spans="1:14">
      <c r="A323">
        <v>16675</v>
      </c>
      <c r="B323" t="s">
        <v>41</v>
      </c>
      <c r="C323" t="s">
        <v>39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si="8"/>
        <v>Middle age</v>
      </c>
      <c r="N323" t="s">
        <v>17</v>
      </c>
    </row>
    <row r="324" spans="1:14">
      <c r="A324">
        <v>16410</v>
      </c>
      <c r="B324" t="s">
        <v>41</v>
      </c>
      <c r="C324" t="s">
        <v>39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8"/>
        <v>Middle age</v>
      </c>
      <c r="N324" t="s">
        <v>17</v>
      </c>
    </row>
    <row r="325" spans="1:14">
      <c r="A325">
        <v>27760</v>
      </c>
      <c r="B325" t="s">
        <v>41</v>
      </c>
      <c r="C325" t="s">
        <v>39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8"/>
        <v>Middle age</v>
      </c>
      <c r="N325" t="s">
        <v>17</v>
      </c>
    </row>
    <row r="326" spans="1:14">
      <c r="A326">
        <v>22930</v>
      </c>
      <c r="B326" t="s">
        <v>38</v>
      </c>
      <c r="C326" t="s">
        <v>40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8"/>
        <v>Middle age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8"/>
        <v>Middle age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8"/>
        <v>Adolescent</v>
      </c>
      <c r="N328" t="s">
        <v>17</v>
      </c>
    </row>
    <row r="329" spans="1:14">
      <c r="A329">
        <v>28379</v>
      </c>
      <c r="B329" t="s">
        <v>38</v>
      </c>
      <c r="C329" t="s">
        <v>40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8"/>
        <v>Middle age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8"/>
        <v>Middle age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42</v>
      </c>
      <c r="K331" t="s">
        <v>19</v>
      </c>
      <c r="L331">
        <v>59</v>
      </c>
      <c r="M331" t="str">
        <f t="shared" ref="M331:M351" si="9">IF(L331&gt;=54,"Old",IF(L331&gt;=31,"Middle age",IF(L331&lt;31,"Adolescent","Invalid")))</f>
        <v>Old</v>
      </c>
      <c r="N331" t="s">
        <v>20</v>
      </c>
    </row>
    <row r="332" spans="1:14">
      <c r="A332">
        <v>24898</v>
      </c>
      <c r="B332" t="s">
        <v>41</v>
      </c>
      <c r="C332" t="s">
        <v>39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42</v>
      </c>
      <c r="K332" t="s">
        <v>27</v>
      </c>
      <c r="L332">
        <v>32</v>
      </c>
      <c r="M332" t="str">
        <f t="shared" si="9"/>
        <v>Middle age</v>
      </c>
      <c r="N332" t="s">
        <v>20</v>
      </c>
    </row>
    <row r="333" spans="1:14">
      <c r="A333">
        <v>19508</v>
      </c>
      <c r="B333" t="s">
        <v>38</v>
      </c>
      <c r="C333" t="s">
        <v>40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9"/>
        <v>Adolescent</v>
      </c>
      <c r="N333" t="s">
        <v>20</v>
      </c>
    </row>
    <row r="334" spans="1:14">
      <c r="A334">
        <v>11489</v>
      </c>
      <c r="B334" t="s">
        <v>41</v>
      </c>
      <c r="C334" t="s">
        <v>39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9"/>
        <v>Middle age</v>
      </c>
      <c r="N334" t="s">
        <v>17</v>
      </c>
    </row>
    <row r="335" spans="1:14">
      <c r="A335">
        <v>18160</v>
      </c>
      <c r="B335" t="s">
        <v>38</v>
      </c>
      <c r="C335" t="s">
        <v>40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9"/>
        <v>Middle age</v>
      </c>
      <c r="N335" t="s">
        <v>17</v>
      </c>
    </row>
    <row r="336" spans="1:14">
      <c r="A336">
        <v>25241</v>
      </c>
      <c r="B336" t="s">
        <v>38</v>
      </c>
      <c r="C336" t="s">
        <v>40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9"/>
        <v>Middle age</v>
      </c>
      <c r="N336" t="s">
        <v>20</v>
      </c>
    </row>
    <row r="337" spans="1:14">
      <c r="A337">
        <v>24369</v>
      </c>
      <c r="B337" t="s">
        <v>38</v>
      </c>
      <c r="C337" t="s">
        <v>40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9"/>
        <v>Middle age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9"/>
        <v>Middle age</v>
      </c>
      <c r="N338" t="s">
        <v>20</v>
      </c>
    </row>
    <row r="339" spans="1:14">
      <c r="A339">
        <v>29424</v>
      </c>
      <c r="B339" t="s">
        <v>38</v>
      </c>
      <c r="C339" t="s">
        <v>40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9"/>
        <v>Middle age</v>
      </c>
      <c r="N339" t="s">
        <v>20</v>
      </c>
    </row>
    <row r="340" spans="1:14">
      <c r="A340">
        <v>15926</v>
      </c>
      <c r="B340" t="s">
        <v>41</v>
      </c>
      <c r="C340" t="s">
        <v>39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9"/>
        <v>Middle age</v>
      </c>
      <c r="N340" t="s">
        <v>17</v>
      </c>
    </row>
    <row r="341" spans="1:14">
      <c r="A341">
        <v>14554</v>
      </c>
      <c r="B341" t="s">
        <v>38</v>
      </c>
      <c r="C341" t="s">
        <v>40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9"/>
        <v>Old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9"/>
        <v>Adolescent</v>
      </c>
      <c r="N342" t="s">
        <v>20</v>
      </c>
    </row>
    <row r="343" spans="1:14">
      <c r="A343">
        <v>19174</v>
      </c>
      <c r="B343" t="s">
        <v>41</v>
      </c>
      <c r="C343" t="s">
        <v>39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9"/>
        <v>Middle age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9"/>
        <v>Middle age</v>
      </c>
      <c r="N344" t="s">
        <v>20</v>
      </c>
    </row>
    <row r="345" spans="1:14">
      <c r="A345">
        <v>13683</v>
      </c>
      <c r="B345" t="s">
        <v>41</v>
      </c>
      <c r="C345" t="s">
        <v>39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9"/>
        <v>Middle age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9"/>
        <v>Middle age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9"/>
        <v>Middle age</v>
      </c>
      <c r="N347" t="s">
        <v>17</v>
      </c>
    </row>
    <row r="348" spans="1:14">
      <c r="A348">
        <v>25651</v>
      </c>
      <c r="B348" t="s">
        <v>38</v>
      </c>
      <c r="C348" t="s">
        <v>40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9"/>
        <v>Middle age</v>
      </c>
      <c r="N348" t="s">
        <v>17</v>
      </c>
    </row>
    <row r="349" spans="1:14">
      <c r="A349">
        <v>22936</v>
      </c>
      <c r="B349" t="s">
        <v>41</v>
      </c>
      <c r="C349" t="s">
        <v>39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9"/>
        <v>Middle age</v>
      </c>
      <c r="N349" t="s">
        <v>17</v>
      </c>
    </row>
    <row r="350" spans="1:14">
      <c r="A350">
        <v>23915</v>
      </c>
      <c r="B350" t="s">
        <v>38</v>
      </c>
      <c r="C350" t="s">
        <v>40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9"/>
        <v>Middle age</v>
      </c>
      <c r="N350" t="s">
        <v>20</v>
      </c>
    </row>
    <row r="351" spans="1:14">
      <c r="A351">
        <v>24121</v>
      </c>
      <c r="B351" t="s">
        <v>41</v>
      </c>
      <c r="C351" t="s">
        <v>39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9"/>
        <v>Adolescent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ref="M352:M371" si="10">IF(L352&gt;=54,"Old",IF(L352&gt;=31,"Middle age",IF(L352&lt;31,"Adolescent","Invalid")))</f>
        <v>Adolescent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10"/>
        <v>Middle age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10"/>
        <v>Middle age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10"/>
        <v>Middle age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10"/>
        <v>Middle age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42</v>
      </c>
      <c r="K357" t="s">
        <v>27</v>
      </c>
      <c r="L357">
        <v>32</v>
      </c>
      <c r="M357" t="str">
        <f t="shared" si="10"/>
        <v>Middle age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10"/>
        <v>Middle age</v>
      </c>
      <c r="N358" t="s">
        <v>17</v>
      </c>
    </row>
    <row r="359" spans="1:14">
      <c r="A359">
        <v>22538</v>
      </c>
      <c r="B359" t="s">
        <v>41</v>
      </c>
      <c r="C359" t="s">
        <v>39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10"/>
        <v>Middle age</v>
      </c>
      <c r="N359" t="s">
        <v>20</v>
      </c>
    </row>
    <row r="360" spans="1:14">
      <c r="A360">
        <v>12332</v>
      </c>
      <c r="B360" t="s">
        <v>38</v>
      </c>
      <c r="C360" t="s">
        <v>40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10"/>
        <v>Old</v>
      </c>
      <c r="N360" t="s">
        <v>17</v>
      </c>
    </row>
    <row r="361" spans="1:14">
      <c r="A361">
        <v>17230</v>
      </c>
      <c r="B361" t="s">
        <v>38</v>
      </c>
      <c r="C361" t="s">
        <v>40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42</v>
      </c>
      <c r="K361" t="s">
        <v>27</v>
      </c>
      <c r="L361">
        <v>30</v>
      </c>
      <c r="M361" t="str">
        <f t="shared" si="10"/>
        <v>Adolescent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10"/>
        <v>Middle age</v>
      </c>
      <c r="N362" t="s">
        <v>17</v>
      </c>
    </row>
    <row r="363" spans="1:14">
      <c r="A363">
        <v>22518</v>
      </c>
      <c r="B363" t="s">
        <v>41</v>
      </c>
      <c r="C363" t="s">
        <v>39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10"/>
        <v>Adolescent</v>
      </c>
      <c r="N363" t="s">
        <v>17</v>
      </c>
    </row>
    <row r="364" spans="1:14">
      <c r="A364">
        <v>13687</v>
      </c>
      <c r="B364" t="s">
        <v>38</v>
      </c>
      <c r="C364" t="s">
        <v>40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10"/>
        <v>Middle age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10"/>
        <v>Old</v>
      </c>
      <c r="N365" t="s">
        <v>17</v>
      </c>
    </row>
    <row r="366" spans="1:14">
      <c r="A366">
        <v>19305</v>
      </c>
      <c r="B366" t="s">
        <v>41</v>
      </c>
      <c r="C366" t="s">
        <v>39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10"/>
        <v>Middle age</v>
      </c>
      <c r="N366" t="s">
        <v>17</v>
      </c>
    </row>
    <row r="367" spans="1:14">
      <c r="A367">
        <v>22636</v>
      </c>
      <c r="B367" t="s">
        <v>41</v>
      </c>
      <c r="C367" t="s">
        <v>39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10"/>
        <v>Middle age</v>
      </c>
      <c r="N367" t="s">
        <v>17</v>
      </c>
    </row>
    <row r="368" spans="1:14">
      <c r="A368">
        <v>17310</v>
      </c>
      <c r="B368" t="s">
        <v>38</v>
      </c>
      <c r="C368" t="s">
        <v>40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10"/>
        <v>Middle age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10"/>
        <v>Middle age</v>
      </c>
      <c r="N369" t="s">
        <v>17</v>
      </c>
    </row>
    <row r="370" spans="1:14">
      <c r="A370">
        <v>25918</v>
      </c>
      <c r="B370" t="s">
        <v>41</v>
      </c>
      <c r="C370" t="s">
        <v>39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ref="M370:M385" si="11">IF(L370&gt;=54,"Old",IF(L370&gt;=31,"Middle age",IF(L370&lt;31,"Adolescent","Invalid")))</f>
        <v>Old</v>
      </c>
      <c r="N370" t="s">
        <v>17</v>
      </c>
    </row>
    <row r="371" spans="1:14">
      <c r="A371">
        <v>25752</v>
      </c>
      <c r="B371" t="s">
        <v>41</v>
      </c>
      <c r="C371" t="s">
        <v>39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11"/>
        <v>Middle age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42</v>
      </c>
      <c r="K372" t="s">
        <v>27</v>
      </c>
      <c r="L372">
        <v>46</v>
      </c>
      <c r="M372" t="str">
        <f t="shared" si="11"/>
        <v>Middle age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11"/>
        <v>Middle age</v>
      </c>
      <c r="N373" t="s">
        <v>20</v>
      </c>
    </row>
    <row r="374" spans="1:14">
      <c r="A374">
        <v>12510</v>
      </c>
      <c r="B374" t="s">
        <v>38</v>
      </c>
      <c r="C374" t="s">
        <v>40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11"/>
        <v>Middle age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11"/>
        <v>Adolescent</v>
      </c>
      <c r="N375" t="s">
        <v>20</v>
      </c>
    </row>
    <row r="376" spans="1:14">
      <c r="A376">
        <v>16179</v>
      </c>
      <c r="B376" t="s">
        <v>41</v>
      </c>
      <c r="C376" t="s">
        <v>39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11"/>
        <v>Middle age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11"/>
        <v>Old</v>
      </c>
      <c r="N377" t="s">
        <v>20</v>
      </c>
    </row>
    <row r="378" spans="1:14">
      <c r="A378">
        <v>20977</v>
      </c>
      <c r="B378" t="s">
        <v>38</v>
      </c>
      <c r="C378" t="s">
        <v>40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11"/>
        <v>Old</v>
      </c>
      <c r="N378" t="s">
        <v>17</v>
      </c>
    </row>
    <row r="379" spans="1:14">
      <c r="A379">
        <v>18140</v>
      </c>
      <c r="B379" t="s">
        <v>38</v>
      </c>
      <c r="C379" t="s">
        <v>40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11"/>
        <v>Middle age</v>
      </c>
      <c r="N379" t="s">
        <v>17</v>
      </c>
    </row>
    <row r="380" spans="1:14">
      <c r="A380">
        <v>20417</v>
      </c>
      <c r="B380" t="s">
        <v>38</v>
      </c>
      <c r="C380" t="s">
        <v>40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11"/>
        <v>Old</v>
      </c>
      <c r="N380" t="s">
        <v>20</v>
      </c>
    </row>
    <row r="381" spans="1:14">
      <c r="A381">
        <v>18267</v>
      </c>
      <c r="B381" t="s">
        <v>38</v>
      </c>
      <c r="C381" t="s">
        <v>40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11"/>
        <v>Middle age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42</v>
      </c>
      <c r="K382" t="s">
        <v>27</v>
      </c>
      <c r="L382">
        <v>30</v>
      </c>
      <c r="M382" t="str">
        <f t="shared" si="11"/>
        <v>Adolescent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11"/>
        <v>Old</v>
      </c>
      <c r="N383" t="s">
        <v>20</v>
      </c>
    </row>
    <row r="384" spans="1:14">
      <c r="A384">
        <v>13586</v>
      </c>
      <c r="B384" t="s">
        <v>38</v>
      </c>
      <c r="C384" t="s">
        <v>40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42</v>
      </c>
      <c r="K384" t="s">
        <v>19</v>
      </c>
      <c r="L384">
        <v>53</v>
      </c>
      <c r="M384" t="str">
        <f t="shared" si="11"/>
        <v>Middle age</v>
      </c>
      <c r="N384" t="s">
        <v>20</v>
      </c>
    </row>
    <row r="385" spans="1:14">
      <c r="A385">
        <v>17978</v>
      </c>
      <c r="B385" t="s">
        <v>38</v>
      </c>
      <c r="C385" t="s">
        <v>40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11"/>
        <v>Middle age</v>
      </c>
      <c r="N385" t="s">
        <v>17</v>
      </c>
    </row>
    <row r="386" spans="1:14">
      <c r="A386">
        <v>12581</v>
      </c>
      <c r="B386" t="s">
        <v>41</v>
      </c>
      <c r="C386" t="s">
        <v>39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ref="M386:M401" si="12">IF(L386&gt;=54,"Old",IF(L386&gt;=31,"Middle age",IF(L386&lt;31,"Adolescent","Invalid")))</f>
        <v>Adolescent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si="12"/>
        <v>Middle age</v>
      </c>
      <c r="N387" t="s">
        <v>20</v>
      </c>
    </row>
    <row r="388" spans="1:14">
      <c r="A388">
        <v>28957</v>
      </c>
      <c r="B388" t="s">
        <v>41</v>
      </c>
      <c r="C388" t="s">
        <v>39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42</v>
      </c>
      <c r="K388" t="s">
        <v>27</v>
      </c>
      <c r="L388">
        <v>34</v>
      </c>
      <c r="M388" t="str">
        <f t="shared" si="12"/>
        <v>Middle age</v>
      </c>
      <c r="N388" t="s">
        <v>17</v>
      </c>
    </row>
    <row r="389" spans="1:14">
      <c r="A389">
        <v>13690</v>
      </c>
      <c r="B389" t="s">
        <v>41</v>
      </c>
      <c r="C389" t="s">
        <v>39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12"/>
        <v>Middle age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12"/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12"/>
        <v>Middle age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12"/>
        <v>Middle age</v>
      </c>
      <c r="N392" t="s">
        <v>20</v>
      </c>
    </row>
    <row r="393" spans="1:14">
      <c r="A393">
        <v>26150</v>
      </c>
      <c r="B393" t="s">
        <v>41</v>
      </c>
      <c r="C393" t="s">
        <v>39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12"/>
        <v>Middle age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12"/>
        <v>Middle age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12"/>
        <v>Middle age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12"/>
        <v>Middle age</v>
      </c>
      <c r="N396" t="s">
        <v>17</v>
      </c>
    </row>
    <row r="397" spans="1:14">
      <c r="A397">
        <v>14926</v>
      </c>
      <c r="B397" t="s">
        <v>38</v>
      </c>
      <c r="C397" t="s">
        <v>40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12"/>
        <v>Middle age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12"/>
        <v>Middle age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12"/>
        <v>Old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12"/>
        <v>Middle age</v>
      </c>
      <c r="N400" t="s">
        <v>17</v>
      </c>
    </row>
    <row r="401" spans="1:14">
      <c r="A401">
        <v>26167</v>
      </c>
      <c r="B401" t="s">
        <v>41</v>
      </c>
      <c r="C401" t="s">
        <v>39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12"/>
        <v>Middle age</v>
      </c>
      <c r="N401" t="s">
        <v>17</v>
      </c>
    </row>
    <row r="402" spans="1:14">
      <c r="A402">
        <v>25792</v>
      </c>
      <c r="B402" t="s">
        <v>41</v>
      </c>
      <c r="C402" t="s">
        <v>39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42</v>
      </c>
      <c r="K402" t="s">
        <v>19</v>
      </c>
      <c r="L402">
        <v>53</v>
      </c>
      <c r="M402" t="str">
        <f t="shared" ref="M402:M420" si="13">IF(L402&gt;=54,"Old",IF(L402&gt;=31,"Middle age",IF(L402&lt;31,"Adolescent","Invalid")))</f>
        <v>Middle age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13"/>
        <v>Old</v>
      </c>
      <c r="N403" t="s">
        <v>20</v>
      </c>
    </row>
    <row r="404" spans="1:14">
      <c r="A404">
        <v>22381</v>
      </c>
      <c r="B404" t="s">
        <v>38</v>
      </c>
      <c r="C404" t="s">
        <v>40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13"/>
        <v>Middle age</v>
      </c>
      <c r="N404" t="s">
        <v>20</v>
      </c>
    </row>
    <row r="405" spans="1:14">
      <c r="A405">
        <v>17882</v>
      </c>
      <c r="B405" t="s">
        <v>38</v>
      </c>
      <c r="C405" t="s">
        <v>40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13"/>
        <v>Middle age</v>
      </c>
      <c r="N405" t="s">
        <v>20</v>
      </c>
    </row>
    <row r="406" spans="1:14">
      <c r="A406">
        <v>22174</v>
      </c>
      <c r="B406" t="s">
        <v>38</v>
      </c>
      <c r="C406" t="s">
        <v>40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13"/>
        <v>Old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13"/>
        <v>Middle age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13"/>
        <v>Middle age</v>
      </c>
      <c r="N408" t="s">
        <v>20</v>
      </c>
    </row>
    <row r="409" spans="1:14">
      <c r="A409">
        <v>27582</v>
      </c>
      <c r="B409" t="s">
        <v>41</v>
      </c>
      <c r="C409" t="s">
        <v>39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13"/>
        <v>Middle age</v>
      </c>
      <c r="N409" t="s">
        <v>17</v>
      </c>
    </row>
    <row r="410" spans="1:14">
      <c r="A410">
        <v>12744</v>
      </c>
      <c r="B410" t="s">
        <v>41</v>
      </c>
      <c r="C410" t="s">
        <v>39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13"/>
        <v>Middle age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13"/>
        <v>Middle age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13"/>
        <v>Middle age</v>
      </c>
      <c r="N412" t="s">
        <v>17</v>
      </c>
    </row>
    <row r="413" spans="1:14">
      <c r="A413">
        <v>11116</v>
      </c>
      <c r="B413" t="s">
        <v>38</v>
      </c>
      <c r="C413" t="s">
        <v>40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13"/>
        <v>Middle age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13"/>
        <v>Middle age</v>
      </c>
      <c r="N414" t="s">
        <v>20</v>
      </c>
    </row>
    <row r="415" spans="1:14">
      <c r="A415">
        <v>25266</v>
      </c>
      <c r="B415" t="s">
        <v>41</v>
      </c>
      <c r="C415" t="s">
        <v>39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13"/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13"/>
        <v>Middle age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13"/>
        <v>Middle age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13"/>
        <v>Middle age</v>
      </c>
      <c r="N418" t="s">
        <v>17</v>
      </c>
    </row>
    <row r="419" spans="1:14">
      <c r="A419">
        <v>11139</v>
      </c>
      <c r="B419" t="s">
        <v>41</v>
      </c>
      <c r="C419" t="s">
        <v>39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13"/>
        <v>Old</v>
      </c>
      <c r="N419" t="s">
        <v>20</v>
      </c>
    </row>
    <row r="420" spans="1:14">
      <c r="A420">
        <v>11576</v>
      </c>
      <c r="B420" t="s">
        <v>38</v>
      </c>
      <c r="C420" t="s">
        <v>40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13"/>
        <v>Middle age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ref="M421:M438" si="14">IF(L421&gt;=54,"Old",IF(L421&gt;=31,"Middle age",IF(L421&lt;31,"Adolescent","Invalid")))</f>
        <v>Middle age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42</v>
      </c>
      <c r="K422" t="s">
        <v>19</v>
      </c>
      <c r="L422">
        <v>59</v>
      </c>
      <c r="M422" t="str">
        <f t="shared" si="14"/>
        <v>Old</v>
      </c>
      <c r="N422" t="s">
        <v>20</v>
      </c>
    </row>
    <row r="423" spans="1:14">
      <c r="A423">
        <v>14547</v>
      </c>
      <c r="B423" t="s">
        <v>38</v>
      </c>
      <c r="C423" t="s">
        <v>40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14"/>
        <v>Middle age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42</v>
      </c>
      <c r="K424" t="s">
        <v>27</v>
      </c>
      <c r="L424">
        <v>32</v>
      </c>
      <c r="M424" t="str">
        <f t="shared" si="14"/>
        <v>Middle age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14"/>
        <v>Middle age</v>
      </c>
      <c r="N425" t="s">
        <v>17</v>
      </c>
    </row>
    <row r="426" spans="1:14">
      <c r="A426">
        <v>14805</v>
      </c>
      <c r="B426" t="s">
        <v>41</v>
      </c>
      <c r="C426" t="s">
        <v>39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14"/>
        <v>Middle age</v>
      </c>
      <c r="N426" t="s">
        <v>20</v>
      </c>
    </row>
    <row r="427" spans="1:14">
      <c r="A427">
        <v>15822</v>
      </c>
      <c r="B427" t="s">
        <v>38</v>
      </c>
      <c r="C427" t="s">
        <v>40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14"/>
        <v>Old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14"/>
        <v>Adolescent</v>
      </c>
      <c r="N428" t="s">
        <v>20</v>
      </c>
    </row>
    <row r="429" spans="1:14">
      <c r="A429">
        <v>17048</v>
      </c>
      <c r="B429" t="s">
        <v>41</v>
      </c>
      <c r="C429" t="s">
        <v>39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14"/>
        <v>Middle age</v>
      </c>
      <c r="N429" t="s">
        <v>17</v>
      </c>
    </row>
    <row r="430" spans="1:14">
      <c r="A430">
        <v>22204</v>
      </c>
      <c r="B430" t="s">
        <v>38</v>
      </c>
      <c r="C430" t="s">
        <v>40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14"/>
        <v>Middle age</v>
      </c>
      <c r="N430" t="s">
        <v>20</v>
      </c>
    </row>
    <row r="431" spans="1:14">
      <c r="A431">
        <v>12718</v>
      </c>
      <c r="B431" t="s">
        <v>41</v>
      </c>
      <c r="C431" t="s">
        <v>39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14"/>
        <v>Middle age</v>
      </c>
      <c r="N431" t="s">
        <v>20</v>
      </c>
    </row>
    <row r="432" spans="1:14">
      <c r="A432">
        <v>15019</v>
      </c>
      <c r="B432" t="s">
        <v>41</v>
      </c>
      <c r="C432" t="s">
        <v>39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14"/>
        <v>Old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14"/>
        <v>Adolescent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42</v>
      </c>
      <c r="K434" t="s">
        <v>27</v>
      </c>
      <c r="L434">
        <v>34</v>
      </c>
      <c r="M434" t="str">
        <f t="shared" si="14"/>
        <v>Middle age</v>
      </c>
      <c r="N434" t="s">
        <v>17</v>
      </c>
    </row>
    <row r="435" spans="1:14">
      <c r="A435">
        <v>27814</v>
      </c>
      <c r="B435" t="s">
        <v>41</v>
      </c>
      <c r="C435" t="s">
        <v>39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14"/>
        <v>Adolescent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14"/>
        <v>Middle age</v>
      </c>
      <c r="N436" t="s">
        <v>17</v>
      </c>
    </row>
    <row r="437" spans="1:14">
      <c r="A437">
        <v>29447</v>
      </c>
      <c r="B437" t="s">
        <v>41</v>
      </c>
      <c r="C437" t="s">
        <v>39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14"/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14"/>
        <v>Middle age</v>
      </c>
      <c r="N438" t="s">
        <v>17</v>
      </c>
    </row>
    <row r="439" spans="1:14">
      <c r="A439">
        <v>27824</v>
      </c>
      <c r="B439" t="s">
        <v>41</v>
      </c>
      <c r="C439" t="s">
        <v>39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ref="M439:M455" si="15">IF(L439&gt;=54,"Old",IF(L439&gt;=31,"Middle age",IF(L439&lt;31,"Adolescent","Invalid")))</f>
        <v>Adolescent</v>
      </c>
      <c r="N439" t="s">
        <v>17</v>
      </c>
    </row>
    <row r="440" spans="1:14">
      <c r="A440">
        <v>24093</v>
      </c>
      <c r="B440" t="s">
        <v>41</v>
      </c>
      <c r="C440" t="s">
        <v>39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15"/>
        <v>Middle age</v>
      </c>
      <c r="N440" t="s">
        <v>17</v>
      </c>
    </row>
    <row r="441" spans="1:14">
      <c r="A441">
        <v>19618</v>
      </c>
      <c r="B441" t="s">
        <v>38</v>
      </c>
      <c r="C441" t="s">
        <v>40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15"/>
        <v>Middle age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42</v>
      </c>
      <c r="K442" t="s">
        <v>27</v>
      </c>
      <c r="L442">
        <v>34</v>
      </c>
      <c r="M442" t="str">
        <f t="shared" si="15"/>
        <v>Middle age</v>
      </c>
      <c r="N442" t="s">
        <v>17</v>
      </c>
    </row>
    <row r="443" spans="1:14">
      <c r="A443">
        <v>11061</v>
      </c>
      <c r="B443" t="s">
        <v>38</v>
      </c>
      <c r="C443" t="s">
        <v>40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15"/>
        <v>Middle age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15"/>
        <v>Middle age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15"/>
        <v>Middle age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15"/>
        <v>Middle age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15"/>
        <v>Middle age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42</v>
      </c>
      <c r="K448" t="s">
        <v>27</v>
      </c>
      <c r="L448">
        <v>48</v>
      </c>
      <c r="M448" t="str">
        <f t="shared" si="15"/>
        <v>Middle age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15"/>
        <v>Middle age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15"/>
        <v>Middle age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si="15"/>
        <v>Middle age</v>
      </c>
      <c r="N451" t="s">
        <v>20</v>
      </c>
    </row>
    <row r="452" spans="1:14">
      <c r="A452">
        <v>16559</v>
      </c>
      <c r="B452" t="s">
        <v>41</v>
      </c>
      <c r="C452" t="s">
        <v>39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15"/>
        <v>Middle age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15"/>
        <v>Middle age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15"/>
        <v>Old</v>
      </c>
      <c r="N454" t="s">
        <v>20</v>
      </c>
    </row>
    <row r="455" spans="1:14">
      <c r="A455">
        <v>26765</v>
      </c>
      <c r="B455" t="s">
        <v>41</v>
      </c>
      <c r="C455" t="s">
        <v>39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15"/>
        <v>Middle age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ref="M456:M476" si="16">IF(L456&gt;=54,"Old",IF(L456&gt;=31,"Middle age",IF(L456&lt;31,"Adolescent","Invalid")))</f>
        <v>Middle age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16"/>
        <v>Middle age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16"/>
        <v>Middle age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16"/>
        <v>Old</v>
      </c>
      <c r="N459" t="s">
        <v>20</v>
      </c>
    </row>
    <row r="460" spans="1:14">
      <c r="A460">
        <v>21560</v>
      </c>
      <c r="B460" t="s">
        <v>38</v>
      </c>
      <c r="C460" t="s">
        <v>40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42</v>
      </c>
      <c r="K460" t="s">
        <v>27</v>
      </c>
      <c r="L460">
        <v>32</v>
      </c>
      <c r="M460" t="str">
        <f t="shared" si="16"/>
        <v>Middle age</v>
      </c>
      <c r="N460" t="s">
        <v>17</v>
      </c>
    </row>
    <row r="461" spans="1:14">
      <c r="A461">
        <v>21554</v>
      </c>
      <c r="B461" t="s">
        <v>41</v>
      </c>
      <c r="C461" t="s">
        <v>39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42</v>
      </c>
      <c r="K461" t="s">
        <v>27</v>
      </c>
      <c r="L461">
        <v>33</v>
      </c>
      <c r="M461" t="str">
        <f t="shared" si="16"/>
        <v>Middle age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16"/>
        <v>Middle age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16"/>
        <v>Middle age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16"/>
        <v>Middle age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16"/>
        <v>Middle age</v>
      </c>
      <c r="N465" t="s">
        <v>20</v>
      </c>
    </row>
    <row r="466" spans="1:14">
      <c r="A466">
        <v>17754</v>
      </c>
      <c r="B466" t="s">
        <v>41</v>
      </c>
      <c r="C466" t="s">
        <v>39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16"/>
        <v>Middle age</v>
      </c>
      <c r="N466" t="s">
        <v>17</v>
      </c>
    </row>
    <row r="467" spans="1:14">
      <c r="A467">
        <v>11149</v>
      </c>
      <c r="B467" t="s">
        <v>38</v>
      </c>
      <c r="C467" t="s">
        <v>40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16"/>
        <v>Old</v>
      </c>
      <c r="N467" t="s">
        <v>20</v>
      </c>
    </row>
    <row r="468" spans="1:14">
      <c r="A468">
        <v>16549</v>
      </c>
      <c r="B468" t="s">
        <v>41</v>
      </c>
      <c r="C468" t="s">
        <v>39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16"/>
        <v>Middle age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16"/>
        <v>Middle age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16"/>
        <v>Middle age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16"/>
        <v>Old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16"/>
        <v>Adolescent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16"/>
        <v>Middle age</v>
      </c>
      <c r="N473" t="s">
        <v>17</v>
      </c>
    </row>
    <row r="474" spans="1:14">
      <c r="A474">
        <v>22634</v>
      </c>
      <c r="B474" t="s">
        <v>41</v>
      </c>
      <c r="C474" t="s">
        <v>39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16"/>
        <v>Middle age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16"/>
        <v>Middle age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16"/>
        <v>Middle age</v>
      </c>
      <c r="N476" t="s">
        <v>17</v>
      </c>
    </row>
    <row r="477" spans="1:14">
      <c r="A477">
        <v>19748</v>
      </c>
      <c r="B477" t="s">
        <v>38</v>
      </c>
      <c r="C477" t="s">
        <v>40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ref="M477:M494" si="17">IF(L477&gt;=54,"Old",IF(L477&gt;=31,"Middle age",IF(L477&lt;31,"Adolescent","Invalid")))</f>
        <v>Old</v>
      </c>
      <c r="N477" t="s">
        <v>20</v>
      </c>
    </row>
    <row r="478" spans="1:14">
      <c r="A478">
        <v>21974</v>
      </c>
      <c r="B478" t="s">
        <v>41</v>
      </c>
      <c r="C478" t="s">
        <v>39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17"/>
        <v>Middle age</v>
      </c>
      <c r="N478" t="s">
        <v>17</v>
      </c>
    </row>
    <row r="479" spans="1:14">
      <c r="A479">
        <v>14032</v>
      </c>
      <c r="B479" t="s">
        <v>38</v>
      </c>
      <c r="C479" t="s">
        <v>40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17"/>
        <v>Middle age</v>
      </c>
      <c r="N479" t="s">
        <v>17</v>
      </c>
    </row>
    <row r="480" spans="1:14">
      <c r="A480">
        <v>22610</v>
      </c>
      <c r="B480" t="s">
        <v>38</v>
      </c>
      <c r="C480" t="s">
        <v>40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17"/>
        <v>Middle age</v>
      </c>
      <c r="N480" t="s">
        <v>17</v>
      </c>
    </row>
    <row r="481" spans="1:14">
      <c r="A481">
        <v>26984</v>
      </c>
      <c r="B481" t="s">
        <v>38</v>
      </c>
      <c r="C481" t="s">
        <v>40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17"/>
        <v>Middle age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17"/>
        <v>Middle age</v>
      </c>
      <c r="N482" t="s">
        <v>20</v>
      </c>
    </row>
    <row r="483" spans="1:14">
      <c r="A483">
        <v>28564</v>
      </c>
      <c r="B483" t="s">
        <v>41</v>
      </c>
      <c r="C483" t="s">
        <v>39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17"/>
        <v>Middle age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17"/>
        <v>Middle age</v>
      </c>
      <c r="N484" t="s">
        <v>17</v>
      </c>
    </row>
    <row r="485" spans="1:14">
      <c r="A485">
        <v>15450</v>
      </c>
      <c r="B485" t="s">
        <v>38</v>
      </c>
      <c r="C485" t="s">
        <v>40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17"/>
        <v>Old</v>
      </c>
      <c r="N485" t="s">
        <v>20</v>
      </c>
    </row>
    <row r="486" spans="1:14">
      <c r="A486">
        <v>25681</v>
      </c>
      <c r="B486" t="s">
        <v>41</v>
      </c>
      <c r="C486" t="s">
        <v>39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17"/>
        <v>Middle age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17"/>
        <v>Middle age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42</v>
      </c>
      <c r="K488" t="s">
        <v>19</v>
      </c>
      <c r="L488">
        <v>58</v>
      </c>
      <c r="M488" t="str">
        <f t="shared" si="17"/>
        <v>Old</v>
      </c>
      <c r="N488" t="s">
        <v>20</v>
      </c>
    </row>
    <row r="489" spans="1:14">
      <c r="A489">
        <v>12821</v>
      </c>
      <c r="B489" t="s">
        <v>38</v>
      </c>
      <c r="C489" t="s">
        <v>40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17"/>
        <v>Middle age</v>
      </c>
      <c r="N489" t="s">
        <v>20</v>
      </c>
    </row>
    <row r="490" spans="1:14">
      <c r="A490">
        <v>15629</v>
      </c>
      <c r="B490" t="s">
        <v>41</v>
      </c>
      <c r="C490" t="s">
        <v>39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17"/>
        <v>Middle age</v>
      </c>
      <c r="N490" t="s">
        <v>20</v>
      </c>
    </row>
    <row r="491" spans="1:14">
      <c r="A491">
        <v>27835</v>
      </c>
      <c r="B491" t="s">
        <v>38</v>
      </c>
      <c r="C491" t="s">
        <v>40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17"/>
        <v>Middle age</v>
      </c>
      <c r="N491" t="s">
        <v>20</v>
      </c>
    </row>
    <row r="492" spans="1:14">
      <c r="A492">
        <v>11738</v>
      </c>
      <c r="B492" t="s">
        <v>38</v>
      </c>
      <c r="C492" t="s">
        <v>40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17"/>
        <v>Middle age</v>
      </c>
      <c r="N492" t="s">
        <v>20</v>
      </c>
    </row>
    <row r="493" spans="1:14">
      <c r="A493">
        <v>25065</v>
      </c>
      <c r="B493" t="s">
        <v>38</v>
      </c>
      <c r="C493" t="s">
        <v>40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17"/>
        <v>Middle age</v>
      </c>
      <c r="N493" t="s">
        <v>20</v>
      </c>
    </row>
    <row r="494" spans="1:14">
      <c r="A494">
        <v>26238</v>
      </c>
      <c r="B494" t="s">
        <v>41</v>
      </c>
      <c r="C494" t="s">
        <v>39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17"/>
        <v>Middle age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42</v>
      </c>
      <c r="K495" t="s">
        <v>35</v>
      </c>
      <c r="L495">
        <v>60</v>
      </c>
      <c r="M495" t="str">
        <f t="shared" ref="M495:M509" si="18">IF(L495&gt;=54,"Old",IF(L495&gt;=31,"Middle age",IF(L495&lt;31,"Adolescent","Invalid")))</f>
        <v>Old</v>
      </c>
      <c r="N495" t="s">
        <v>17</v>
      </c>
    </row>
    <row r="496" spans="1:14">
      <c r="A496">
        <v>27650</v>
      </c>
      <c r="B496" t="s">
        <v>38</v>
      </c>
      <c r="C496" t="s">
        <v>40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18"/>
        <v>Middle age</v>
      </c>
      <c r="N496" t="s">
        <v>20</v>
      </c>
    </row>
    <row r="497" spans="1:14">
      <c r="A497">
        <v>24981</v>
      </c>
      <c r="B497" t="s">
        <v>38</v>
      </c>
      <c r="C497" t="s">
        <v>40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42</v>
      </c>
      <c r="K497" t="s">
        <v>35</v>
      </c>
      <c r="L497">
        <v>56</v>
      </c>
      <c r="M497" t="str">
        <f t="shared" si="18"/>
        <v>Old</v>
      </c>
      <c r="N497" t="s">
        <v>20</v>
      </c>
    </row>
    <row r="498" spans="1:14">
      <c r="A498">
        <v>20678</v>
      </c>
      <c r="B498" t="s">
        <v>41</v>
      </c>
      <c r="C498" t="s">
        <v>39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18"/>
        <v>Middle age</v>
      </c>
      <c r="N498" t="s">
        <v>17</v>
      </c>
    </row>
    <row r="499" spans="1:14">
      <c r="A499">
        <v>15302</v>
      </c>
      <c r="B499" t="s">
        <v>41</v>
      </c>
      <c r="C499" t="s">
        <v>39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18"/>
        <v>Middle age</v>
      </c>
      <c r="N499" t="s">
        <v>17</v>
      </c>
    </row>
    <row r="500" spans="1:14">
      <c r="A500">
        <v>26012</v>
      </c>
      <c r="B500" t="s">
        <v>38</v>
      </c>
      <c r="C500" t="s">
        <v>40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18"/>
        <v>Middle age</v>
      </c>
      <c r="N500" t="s">
        <v>17</v>
      </c>
    </row>
    <row r="501" spans="1:14">
      <c r="A501">
        <v>26575</v>
      </c>
      <c r="B501" t="s">
        <v>41</v>
      </c>
      <c r="C501" t="s">
        <v>39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18"/>
        <v>Middle age</v>
      </c>
      <c r="N501" t="s">
        <v>17</v>
      </c>
    </row>
    <row r="502" spans="1:14">
      <c r="A502">
        <v>15559</v>
      </c>
      <c r="B502" t="s">
        <v>38</v>
      </c>
      <c r="C502" t="s">
        <v>40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18"/>
        <v>Middle age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18"/>
        <v>Middle age</v>
      </c>
      <c r="N503" t="s">
        <v>20</v>
      </c>
    </row>
    <row r="504" spans="1:14">
      <c r="A504">
        <v>15275</v>
      </c>
      <c r="B504" t="s">
        <v>38</v>
      </c>
      <c r="C504" t="s">
        <v>40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18"/>
        <v>Adolescent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18"/>
        <v>Middle age</v>
      </c>
      <c r="N505" t="s">
        <v>17</v>
      </c>
    </row>
    <row r="506" spans="1:14">
      <c r="A506">
        <v>25405</v>
      </c>
      <c r="B506" t="s">
        <v>38</v>
      </c>
      <c r="C506" t="s">
        <v>40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18"/>
        <v>Middle age</v>
      </c>
      <c r="N506" t="s">
        <v>17</v>
      </c>
    </row>
    <row r="507" spans="1:14">
      <c r="A507">
        <v>15940</v>
      </c>
      <c r="B507" t="s">
        <v>38</v>
      </c>
      <c r="C507" t="s">
        <v>40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18"/>
        <v>Middle age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18"/>
        <v>Middle age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18"/>
        <v>Middle age</v>
      </c>
      <c r="N509" t="s">
        <v>17</v>
      </c>
    </row>
    <row r="510" spans="1:14">
      <c r="A510">
        <v>16337</v>
      </c>
      <c r="B510" t="s">
        <v>38</v>
      </c>
      <c r="C510" t="s">
        <v>40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ref="M510:M522" si="19">IF(L510&gt;=54,"Old",IF(L510&gt;=31,"Middle age",IF(L510&lt;31,"Adolescent","Invalid")))</f>
        <v>Adolescent</v>
      </c>
      <c r="N510" t="s">
        <v>20</v>
      </c>
    </row>
    <row r="511" spans="1:14">
      <c r="A511">
        <v>24357</v>
      </c>
      <c r="B511" t="s">
        <v>38</v>
      </c>
      <c r="C511" t="s">
        <v>40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19"/>
        <v>Middle age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19"/>
        <v>Middle age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19"/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19"/>
        <v>Middle age</v>
      </c>
      <c r="N514" t="s">
        <v>17</v>
      </c>
    </row>
    <row r="515" spans="1:14">
      <c r="A515">
        <v>13353</v>
      </c>
      <c r="B515" t="s">
        <v>41</v>
      </c>
      <c r="C515" t="s">
        <v>39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42</v>
      </c>
      <c r="K515" t="s">
        <v>35</v>
      </c>
      <c r="L515">
        <v>61</v>
      </c>
      <c r="M515" t="str">
        <f t="shared" si="19"/>
        <v>Old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19"/>
        <v>Middle age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19"/>
        <v>Middle age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19"/>
        <v>Middle age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19"/>
        <v>Middle age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19"/>
        <v>Middle age</v>
      </c>
      <c r="N520" t="s">
        <v>17</v>
      </c>
    </row>
    <row r="521" spans="1:14">
      <c r="A521">
        <v>15740</v>
      </c>
      <c r="B521" t="s">
        <v>38</v>
      </c>
      <c r="C521" t="s">
        <v>40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19"/>
        <v>Old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19"/>
        <v>Middle age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42</v>
      </c>
      <c r="K523" t="s">
        <v>35</v>
      </c>
      <c r="L523">
        <v>62</v>
      </c>
      <c r="M523" t="str">
        <f t="shared" ref="M523:M537" si="20">IF(L523&gt;=54,"Old",IF(L523&gt;=31,"Middle age",IF(L523&lt;31,"Adolescent","Invalid")))</f>
        <v>Old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20"/>
        <v>Middle age</v>
      </c>
      <c r="N524" t="s">
        <v>17</v>
      </c>
    </row>
    <row r="525" spans="1:14">
      <c r="A525">
        <v>13283</v>
      </c>
      <c r="B525" t="s">
        <v>38</v>
      </c>
      <c r="C525" t="s">
        <v>40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20"/>
        <v>Middle age</v>
      </c>
      <c r="N525" t="s">
        <v>17</v>
      </c>
    </row>
    <row r="526" spans="1:14">
      <c r="A526">
        <v>17471</v>
      </c>
      <c r="B526" t="s">
        <v>41</v>
      </c>
      <c r="C526" t="s">
        <v>39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20"/>
        <v>Old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42</v>
      </c>
      <c r="K527" t="s">
        <v>35</v>
      </c>
      <c r="L527">
        <v>59</v>
      </c>
      <c r="M527" t="str">
        <f t="shared" si="20"/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20"/>
        <v>Middle age</v>
      </c>
      <c r="N528" t="s">
        <v>20</v>
      </c>
    </row>
    <row r="529" spans="1:14">
      <c r="A529">
        <v>11641</v>
      </c>
      <c r="B529" t="s">
        <v>38</v>
      </c>
      <c r="C529" t="s">
        <v>40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20"/>
        <v>Middle age</v>
      </c>
      <c r="N529" t="s">
        <v>20</v>
      </c>
    </row>
    <row r="530" spans="1:14">
      <c r="A530">
        <v>11935</v>
      </c>
      <c r="B530" t="s">
        <v>41</v>
      </c>
      <c r="C530" t="s">
        <v>39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20"/>
        <v>Adolescent</v>
      </c>
      <c r="N530" t="s">
        <v>20</v>
      </c>
    </row>
    <row r="531" spans="1:14">
      <c r="A531">
        <v>13233</v>
      </c>
      <c r="B531" t="s">
        <v>38</v>
      </c>
      <c r="C531" t="s">
        <v>40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42</v>
      </c>
      <c r="K531" t="s">
        <v>35</v>
      </c>
      <c r="L531">
        <v>57</v>
      </c>
      <c r="M531" t="str">
        <f t="shared" si="20"/>
        <v>Old</v>
      </c>
      <c r="N531" t="s">
        <v>17</v>
      </c>
    </row>
    <row r="532" spans="1:14">
      <c r="A532">
        <v>25909</v>
      </c>
      <c r="B532" t="s">
        <v>38</v>
      </c>
      <c r="C532" t="s">
        <v>40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20"/>
        <v>Adolescent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20"/>
        <v>Adolescent</v>
      </c>
      <c r="N533" t="s">
        <v>20</v>
      </c>
    </row>
    <row r="534" spans="1:14">
      <c r="A534">
        <v>29143</v>
      </c>
      <c r="B534" t="s">
        <v>41</v>
      </c>
      <c r="C534" t="s">
        <v>39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20"/>
        <v>Middle age</v>
      </c>
      <c r="N534" t="s">
        <v>17</v>
      </c>
    </row>
    <row r="535" spans="1:14">
      <c r="A535">
        <v>24941</v>
      </c>
      <c r="B535" t="s">
        <v>38</v>
      </c>
      <c r="C535" t="s">
        <v>40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42</v>
      </c>
      <c r="K535" t="s">
        <v>35</v>
      </c>
      <c r="L535">
        <v>66</v>
      </c>
      <c r="M535" t="str">
        <f t="shared" si="20"/>
        <v>Old</v>
      </c>
      <c r="N535" t="s">
        <v>20</v>
      </c>
    </row>
    <row r="536" spans="1:14">
      <c r="A536">
        <v>24637</v>
      </c>
      <c r="B536" t="s">
        <v>38</v>
      </c>
      <c r="C536" t="s">
        <v>40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42</v>
      </c>
      <c r="K536" t="s">
        <v>35</v>
      </c>
      <c r="L536">
        <v>64</v>
      </c>
      <c r="M536" t="str">
        <f t="shared" si="20"/>
        <v>Old</v>
      </c>
      <c r="N536" t="s">
        <v>20</v>
      </c>
    </row>
    <row r="537" spans="1:14">
      <c r="A537">
        <v>23893</v>
      </c>
      <c r="B537" t="s">
        <v>38</v>
      </c>
      <c r="C537" t="s">
        <v>40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42</v>
      </c>
      <c r="K537" t="s">
        <v>35</v>
      </c>
      <c r="L537">
        <v>41</v>
      </c>
      <c r="M537" t="str">
        <f t="shared" si="20"/>
        <v>Middle age</v>
      </c>
      <c r="N537" t="s">
        <v>20</v>
      </c>
    </row>
    <row r="538" spans="1:14">
      <c r="A538">
        <v>13907</v>
      </c>
      <c r="B538" t="s">
        <v>41</v>
      </c>
      <c r="C538" t="s">
        <v>39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ref="M538:M559" si="21">IF(L538&gt;=54,"Old",IF(L538&gt;=31,"Middle age",IF(L538&lt;31,"Adolescent","Invalid")))</f>
        <v>Middle age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21"/>
        <v>Middle age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21"/>
        <v>Middle age</v>
      </c>
      <c r="N540" t="s">
        <v>20</v>
      </c>
    </row>
    <row r="541" spans="1:14">
      <c r="A541">
        <v>22294</v>
      </c>
      <c r="B541" t="s">
        <v>41</v>
      </c>
      <c r="C541" t="s">
        <v>39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21"/>
        <v>Middle age</v>
      </c>
      <c r="N541" t="s">
        <v>17</v>
      </c>
    </row>
    <row r="542" spans="1:14">
      <c r="A542">
        <v>12195</v>
      </c>
      <c r="B542" t="s">
        <v>41</v>
      </c>
      <c r="C542" t="s">
        <v>39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21"/>
        <v>Middle age</v>
      </c>
      <c r="N542" t="s">
        <v>20</v>
      </c>
    </row>
    <row r="543" spans="1:14">
      <c r="A543">
        <v>25375</v>
      </c>
      <c r="B543" t="s">
        <v>38</v>
      </c>
      <c r="C543" t="s">
        <v>40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21"/>
        <v>Middle age</v>
      </c>
      <c r="N543" t="s">
        <v>20</v>
      </c>
    </row>
    <row r="544" spans="1:14">
      <c r="A544">
        <v>11143</v>
      </c>
      <c r="B544" t="s">
        <v>38</v>
      </c>
      <c r="C544" t="s">
        <v>40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21"/>
        <v>Adolescent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21"/>
        <v>Middle age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21"/>
        <v>Middle age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21"/>
        <v>Adolescent</v>
      </c>
      <c r="N547" t="s">
        <v>20</v>
      </c>
    </row>
    <row r="548" spans="1:14">
      <c r="A548">
        <v>15529</v>
      </c>
      <c r="B548" t="s">
        <v>38</v>
      </c>
      <c r="C548" t="s">
        <v>40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21"/>
        <v>Middle age</v>
      </c>
      <c r="N548" t="s">
        <v>17</v>
      </c>
    </row>
    <row r="549" spans="1:14">
      <c r="A549">
        <v>19884</v>
      </c>
      <c r="B549" t="s">
        <v>38</v>
      </c>
      <c r="C549" t="s">
        <v>40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21"/>
        <v>Old</v>
      </c>
      <c r="N549" t="s">
        <v>17</v>
      </c>
    </row>
    <row r="550" spans="1:14">
      <c r="A550">
        <v>18674</v>
      </c>
      <c r="B550" t="s">
        <v>41</v>
      </c>
      <c r="C550" t="s">
        <v>39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21"/>
        <v>Middle age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21"/>
        <v>Middle age</v>
      </c>
      <c r="N551" t="s">
        <v>17</v>
      </c>
    </row>
    <row r="552" spans="1:14">
      <c r="A552">
        <v>14063</v>
      </c>
      <c r="B552" t="s">
        <v>41</v>
      </c>
      <c r="C552" t="s">
        <v>39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21"/>
        <v>Middle age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42</v>
      </c>
      <c r="K553" t="s">
        <v>35</v>
      </c>
      <c r="L553">
        <v>63</v>
      </c>
      <c r="M553" t="str">
        <f t="shared" si="21"/>
        <v>Old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42</v>
      </c>
      <c r="K554" t="s">
        <v>35</v>
      </c>
      <c r="L554">
        <v>54</v>
      </c>
      <c r="M554" t="str">
        <f t="shared" si="21"/>
        <v>Old</v>
      </c>
      <c r="N554" t="s">
        <v>17</v>
      </c>
    </row>
    <row r="555" spans="1:14">
      <c r="A555">
        <v>17533</v>
      </c>
      <c r="B555" t="s">
        <v>38</v>
      </c>
      <c r="C555" t="s">
        <v>40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21"/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21"/>
        <v>Middle age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21"/>
        <v>Middle age</v>
      </c>
      <c r="N557" t="s">
        <v>17</v>
      </c>
    </row>
    <row r="558" spans="1:14">
      <c r="A558">
        <v>25293</v>
      </c>
      <c r="B558" t="s">
        <v>38</v>
      </c>
      <c r="C558" t="s">
        <v>40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21"/>
        <v>Middle age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21"/>
        <v>Middle age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ref="M560:M579" si="22">IF(L560&gt;=54,"Old",IF(L560&gt;=31,"Middle age",IF(L560&lt;31,"Adolescent","Invalid")))</f>
        <v>Middle age</v>
      </c>
      <c r="N560" t="s">
        <v>20</v>
      </c>
    </row>
    <row r="561" spans="1:14">
      <c r="A561">
        <v>15895</v>
      </c>
      <c r="B561" t="s">
        <v>41</v>
      </c>
      <c r="C561" t="s">
        <v>39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42</v>
      </c>
      <c r="K561" t="s">
        <v>35</v>
      </c>
      <c r="L561">
        <v>58</v>
      </c>
      <c r="M561" t="str">
        <f t="shared" si="22"/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22"/>
        <v>Middle age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22"/>
        <v>Middle age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22"/>
        <v>Middle age</v>
      </c>
      <c r="N564" t="s">
        <v>17</v>
      </c>
    </row>
    <row r="565" spans="1:14">
      <c r="A565">
        <v>25006</v>
      </c>
      <c r="B565" t="s">
        <v>41</v>
      </c>
      <c r="C565" t="s">
        <v>39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22"/>
        <v>Adolescent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22"/>
        <v>Adolescent</v>
      </c>
      <c r="N566" t="s">
        <v>20</v>
      </c>
    </row>
    <row r="567" spans="1:14">
      <c r="A567">
        <v>14495</v>
      </c>
      <c r="B567" t="s">
        <v>38</v>
      </c>
      <c r="C567" t="s">
        <v>40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22"/>
        <v>Old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22"/>
        <v>Old</v>
      </c>
      <c r="N568" t="s">
        <v>20</v>
      </c>
    </row>
    <row r="569" spans="1:14">
      <c r="A569">
        <v>14754</v>
      </c>
      <c r="B569" t="s">
        <v>38</v>
      </c>
      <c r="C569" t="s">
        <v>40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22"/>
        <v>Middle age</v>
      </c>
      <c r="N569" t="s">
        <v>17</v>
      </c>
    </row>
    <row r="570" spans="1:14">
      <c r="A570">
        <v>23378</v>
      </c>
      <c r="B570" t="s">
        <v>38</v>
      </c>
      <c r="C570" t="s">
        <v>40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22"/>
        <v>Middle age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42</v>
      </c>
      <c r="K571" t="s">
        <v>35</v>
      </c>
      <c r="L571">
        <v>69</v>
      </c>
      <c r="M571" t="str">
        <f t="shared" si="22"/>
        <v>Old</v>
      </c>
      <c r="N571" t="s">
        <v>20</v>
      </c>
    </row>
    <row r="572" spans="1:14">
      <c r="A572">
        <v>20370</v>
      </c>
      <c r="B572" t="s">
        <v>38</v>
      </c>
      <c r="C572" t="s">
        <v>40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22"/>
        <v>Middle age</v>
      </c>
      <c r="N572" t="s">
        <v>20</v>
      </c>
    </row>
    <row r="573" spans="1:14">
      <c r="A573">
        <v>20528</v>
      </c>
      <c r="B573" t="s">
        <v>38</v>
      </c>
      <c r="C573" t="s">
        <v>40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22"/>
        <v>Old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22"/>
        <v>Adolescent</v>
      </c>
      <c r="N574" t="s">
        <v>20</v>
      </c>
    </row>
    <row r="575" spans="1:14">
      <c r="A575">
        <v>21751</v>
      </c>
      <c r="B575" t="s">
        <v>38</v>
      </c>
      <c r="C575" t="s">
        <v>40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22"/>
        <v>Old</v>
      </c>
      <c r="N575" t="s">
        <v>20</v>
      </c>
    </row>
    <row r="576" spans="1:14">
      <c r="A576">
        <v>21266</v>
      </c>
      <c r="B576" t="s">
        <v>41</v>
      </c>
      <c r="C576" t="s">
        <v>39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22"/>
        <v>Middle age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42</v>
      </c>
      <c r="K577" t="s">
        <v>35</v>
      </c>
      <c r="L577">
        <v>56</v>
      </c>
      <c r="M577" t="str">
        <f t="shared" si="22"/>
        <v>Old</v>
      </c>
      <c r="N577" t="s">
        <v>20</v>
      </c>
    </row>
    <row r="578" spans="1:14">
      <c r="A578">
        <v>18752</v>
      </c>
      <c r="B578" t="s">
        <v>41</v>
      </c>
      <c r="C578" t="s">
        <v>39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22"/>
        <v>Middle age</v>
      </c>
      <c r="N578" t="s">
        <v>20</v>
      </c>
    </row>
    <row r="579" spans="1:14">
      <c r="A579">
        <v>16917</v>
      </c>
      <c r="B579" t="s">
        <v>38</v>
      </c>
      <c r="C579" t="s">
        <v>40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si="22"/>
        <v>Middle age</v>
      </c>
      <c r="N579" t="s">
        <v>20</v>
      </c>
    </row>
    <row r="580" spans="1:14">
      <c r="A580">
        <v>15313</v>
      </c>
      <c r="B580" t="s">
        <v>38</v>
      </c>
      <c r="C580" t="s">
        <v>40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ref="M580:M600" si="23">IF(L580&gt;=54,"Old",IF(L580&gt;=31,"Middle age",IF(L580&lt;31,"Adolescent","Invalid")))</f>
        <v>Old</v>
      </c>
      <c r="N580" t="s">
        <v>20</v>
      </c>
    </row>
    <row r="581" spans="1:14">
      <c r="A581">
        <v>25329</v>
      </c>
      <c r="B581" t="s">
        <v>41</v>
      </c>
      <c r="C581" t="s">
        <v>39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23"/>
        <v>Middle age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42</v>
      </c>
      <c r="K582" t="s">
        <v>35</v>
      </c>
      <c r="L582">
        <v>69</v>
      </c>
      <c r="M582" t="str">
        <f t="shared" si="23"/>
        <v>Old</v>
      </c>
      <c r="N582" t="s">
        <v>20</v>
      </c>
    </row>
    <row r="583" spans="1:14">
      <c r="A583">
        <v>23089</v>
      </c>
      <c r="B583" t="s">
        <v>38</v>
      </c>
      <c r="C583" t="s">
        <v>40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23"/>
        <v>Adolescent</v>
      </c>
      <c r="N583" t="s">
        <v>20</v>
      </c>
    </row>
    <row r="584" spans="1:14">
      <c r="A584">
        <v>13749</v>
      </c>
      <c r="B584" t="s">
        <v>38</v>
      </c>
      <c r="C584" t="s">
        <v>40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23"/>
        <v>Middle age</v>
      </c>
      <c r="N584" t="s">
        <v>20</v>
      </c>
    </row>
    <row r="585" spans="1:14">
      <c r="A585">
        <v>24943</v>
      </c>
      <c r="B585" t="s">
        <v>38</v>
      </c>
      <c r="C585" t="s">
        <v>40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42</v>
      </c>
      <c r="K585" t="s">
        <v>35</v>
      </c>
      <c r="L585">
        <v>66</v>
      </c>
      <c r="M585" t="str">
        <f t="shared" si="23"/>
        <v>Old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23"/>
        <v>Middle age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23"/>
        <v>Middle age</v>
      </c>
      <c r="N587" t="s">
        <v>17</v>
      </c>
    </row>
    <row r="588" spans="1:14">
      <c r="A588">
        <v>17436</v>
      </c>
      <c r="B588" t="s">
        <v>38</v>
      </c>
      <c r="C588" t="s">
        <v>40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23"/>
        <v>Middle age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23"/>
        <v>Middle age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42</v>
      </c>
      <c r="K590" t="s">
        <v>35</v>
      </c>
      <c r="L590">
        <v>51</v>
      </c>
      <c r="M590" t="str">
        <f t="shared" si="23"/>
        <v>Middle age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42</v>
      </c>
      <c r="K591" t="s">
        <v>35</v>
      </c>
      <c r="L591">
        <v>57</v>
      </c>
      <c r="M591" t="str">
        <f t="shared" si="23"/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23"/>
        <v>Middle age</v>
      </c>
      <c r="N592" t="s">
        <v>17</v>
      </c>
    </row>
    <row r="593" spans="1:14">
      <c r="A593">
        <v>18545</v>
      </c>
      <c r="B593" t="s">
        <v>38</v>
      </c>
      <c r="C593" t="s">
        <v>40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42</v>
      </c>
      <c r="K593" t="s">
        <v>35</v>
      </c>
      <c r="L593">
        <v>61</v>
      </c>
      <c r="M593" t="str">
        <f t="shared" si="23"/>
        <v>Old</v>
      </c>
      <c r="N593" t="s">
        <v>17</v>
      </c>
    </row>
    <row r="594" spans="1:14">
      <c r="A594">
        <v>18391</v>
      </c>
      <c r="B594" t="s">
        <v>41</v>
      </c>
      <c r="C594" t="s">
        <v>39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23"/>
        <v>Middle age</v>
      </c>
      <c r="N594" t="s">
        <v>20</v>
      </c>
    </row>
    <row r="595" spans="1:14">
      <c r="A595">
        <v>19812</v>
      </c>
      <c r="B595" t="s">
        <v>41</v>
      </c>
      <c r="C595" t="s">
        <v>39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23"/>
        <v>Middle age</v>
      </c>
      <c r="N595" t="s">
        <v>17</v>
      </c>
    </row>
    <row r="596" spans="1:14">
      <c r="A596">
        <v>27660</v>
      </c>
      <c r="B596" t="s">
        <v>38</v>
      </c>
      <c r="C596" t="s">
        <v>40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23"/>
        <v>Old</v>
      </c>
      <c r="N596" t="s">
        <v>20</v>
      </c>
    </row>
    <row r="597" spans="1:14">
      <c r="A597">
        <v>18058</v>
      </c>
      <c r="B597" t="s">
        <v>41</v>
      </c>
      <c r="C597" t="s">
        <v>39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23"/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23"/>
        <v>Middle age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23"/>
        <v>Old</v>
      </c>
      <c r="N599" t="s">
        <v>17</v>
      </c>
    </row>
    <row r="600" spans="1:14">
      <c r="A600">
        <v>24398</v>
      </c>
      <c r="B600" t="s">
        <v>38</v>
      </c>
      <c r="C600" t="s">
        <v>40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23"/>
        <v>Middle age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ref="M601:M622" si="24">IF(L601&gt;=54,"Old",IF(L601&gt;=31,"Middle age",IF(L601&lt;31,"Adolescent","Invalid")))</f>
        <v>Old</v>
      </c>
      <c r="N601" t="s">
        <v>17</v>
      </c>
    </row>
    <row r="602" spans="1:14">
      <c r="A602">
        <v>28609</v>
      </c>
      <c r="B602" t="s">
        <v>38</v>
      </c>
      <c r="C602" t="s">
        <v>40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24"/>
        <v>Middle age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24"/>
        <v>Middle age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24"/>
        <v>Middle age</v>
      </c>
      <c r="N604" t="s">
        <v>17</v>
      </c>
    </row>
    <row r="605" spans="1:14">
      <c r="A605">
        <v>20000</v>
      </c>
      <c r="B605" t="s">
        <v>38</v>
      </c>
      <c r="C605" t="s">
        <v>40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24"/>
        <v>Middle age</v>
      </c>
      <c r="N605" t="s">
        <v>17</v>
      </c>
    </row>
    <row r="606" spans="1:14">
      <c r="A606">
        <v>25261</v>
      </c>
      <c r="B606" t="s">
        <v>38</v>
      </c>
      <c r="C606" t="s">
        <v>40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24"/>
        <v>Adolescent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24"/>
        <v>Middle age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24"/>
        <v>Middle age</v>
      </c>
      <c r="N608" t="s">
        <v>20</v>
      </c>
    </row>
    <row r="609" spans="1:14">
      <c r="A609">
        <v>16145</v>
      </c>
      <c r="B609" t="s">
        <v>41</v>
      </c>
      <c r="C609" t="s">
        <v>39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42</v>
      </c>
      <c r="K609" t="s">
        <v>35</v>
      </c>
      <c r="L609">
        <v>46</v>
      </c>
      <c r="M609" t="str">
        <f t="shared" si="24"/>
        <v>Middle age</v>
      </c>
      <c r="N609" t="s">
        <v>17</v>
      </c>
    </row>
    <row r="610" spans="1:14">
      <c r="A610">
        <v>16890</v>
      </c>
      <c r="B610" t="s">
        <v>38</v>
      </c>
      <c r="C610" t="s">
        <v>40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24"/>
        <v>Middle age</v>
      </c>
      <c r="N610" t="s">
        <v>17</v>
      </c>
    </row>
    <row r="611" spans="1:14">
      <c r="A611">
        <v>25983</v>
      </c>
      <c r="B611" t="s">
        <v>38</v>
      </c>
      <c r="C611" t="s">
        <v>40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24"/>
        <v>Middle age</v>
      </c>
      <c r="N611" t="s">
        <v>20</v>
      </c>
    </row>
    <row r="612" spans="1:14">
      <c r="A612">
        <v>14633</v>
      </c>
      <c r="B612" t="s">
        <v>38</v>
      </c>
      <c r="C612" t="s">
        <v>40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24"/>
        <v>Middle age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24"/>
        <v>Middle age</v>
      </c>
      <c r="N613" t="s">
        <v>17</v>
      </c>
    </row>
    <row r="614" spans="1:14">
      <c r="A614">
        <v>22983</v>
      </c>
      <c r="B614" t="s">
        <v>41</v>
      </c>
      <c r="C614" t="s">
        <v>39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24"/>
        <v>Adolescent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24"/>
        <v>Middle age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24"/>
        <v>Middle age</v>
      </c>
      <c r="N616" t="s">
        <v>20</v>
      </c>
    </row>
    <row r="617" spans="1:14">
      <c r="A617">
        <v>11538</v>
      </c>
      <c r="B617" t="s">
        <v>41</v>
      </c>
      <c r="C617" t="s">
        <v>39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24"/>
        <v>Middle age</v>
      </c>
      <c r="N617" t="s">
        <v>17</v>
      </c>
    </row>
    <row r="618" spans="1:14">
      <c r="A618">
        <v>16245</v>
      </c>
      <c r="B618" t="s">
        <v>41</v>
      </c>
      <c r="C618" t="s">
        <v>39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24"/>
        <v>Middle age</v>
      </c>
      <c r="N618" t="s">
        <v>20</v>
      </c>
    </row>
    <row r="619" spans="1:14">
      <c r="A619">
        <v>17858</v>
      </c>
      <c r="B619" t="s">
        <v>38</v>
      </c>
      <c r="C619" t="s">
        <v>40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24"/>
        <v>Middle age</v>
      </c>
      <c r="N619" t="s">
        <v>17</v>
      </c>
    </row>
    <row r="620" spans="1:14">
      <c r="A620">
        <v>25347</v>
      </c>
      <c r="B620" t="s">
        <v>41</v>
      </c>
      <c r="C620" t="s">
        <v>39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24"/>
        <v>Middle age</v>
      </c>
      <c r="N620" t="s">
        <v>20</v>
      </c>
    </row>
    <row r="621" spans="1:14">
      <c r="A621">
        <v>15814</v>
      </c>
      <c r="B621" t="s">
        <v>41</v>
      </c>
      <c r="C621" t="s">
        <v>39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24"/>
        <v>Adolescent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24"/>
        <v>Middle age</v>
      </c>
      <c r="N622" t="s">
        <v>17</v>
      </c>
    </row>
    <row r="623" spans="1:14">
      <c r="A623">
        <v>11200</v>
      </c>
      <c r="B623" t="s">
        <v>38</v>
      </c>
      <c r="C623" t="s">
        <v>40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ref="M623:M651" si="25">IF(L623&gt;=54,"Old",IF(L623&gt;=31,"Middle age",IF(L623&lt;31,"Adolescent","Invalid")))</f>
        <v>Old</v>
      </c>
      <c r="N623" t="s">
        <v>20</v>
      </c>
    </row>
    <row r="624" spans="1:14">
      <c r="A624">
        <v>25101</v>
      </c>
      <c r="B624" t="s">
        <v>38</v>
      </c>
      <c r="C624" t="s">
        <v>40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25"/>
        <v>Middle age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25"/>
        <v>Old</v>
      </c>
      <c r="N625" t="s">
        <v>20</v>
      </c>
    </row>
    <row r="626" spans="1:14">
      <c r="A626">
        <v>25943</v>
      </c>
      <c r="B626" t="s">
        <v>41</v>
      </c>
      <c r="C626" t="s">
        <v>39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25"/>
        <v>Adolescent</v>
      </c>
      <c r="N626" t="s">
        <v>17</v>
      </c>
    </row>
    <row r="627" spans="1:14">
      <c r="A627">
        <v>22127</v>
      </c>
      <c r="B627" t="s">
        <v>38</v>
      </c>
      <c r="C627" t="s">
        <v>40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25"/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25"/>
        <v>Adolescent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25"/>
        <v>Old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25"/>
        <v>Middle age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25"/>
        <v>Middle age</v>
      </c>
      <c r="N631" t="s">
        <v>20</v>
      </c>
    </row>
    <row r="632" spans="1:14">
      <c r="A632">
        <v>27753</v>
      </c>
      <c r="B632" t="s">
        <v>38</v>
      </c>
      <c r="C632" t="s">
        <v>40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25"/>
        <v>Adolescent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25"/>
        <v>Middle age</v>
      </c>
      <c r="N633" t="s">
        <v>20</v>
      </c>
    </row>
    <row r="634" spans="1:14">
      <c r="A634">
        <v>13754</v>
      </c>
      <c r="B634" t="s">
        <v>41</v>
      </c>
      <c r="C634" t="s">
        <v>39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25"/>
        <v>Middle age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25"/>
        <v>Middle age</v>
      </c>
      <c r="N635" t="s">
        <v>17</v>
      </c>
    </row>
    <row r="636" spans="1:14">
      <c r="A636">
        <v>27388</v>
      </c>
      <c r="B636" t="s">
        <v>38</v>
      </c>
      <c r="C636" t="s">
        <v>40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25"/>
        <v>Old</v>
      </c>
      <c r="N636" t="s">
        <v>20</v>
      </c>
    </row>
    <row r="637" spans="1:14">
      <c r="A637">
        <v>24745</v>
      </c>
      <c r="B637" t="s">
        <v>41</v>
      </c>
      <c r="C637" t="s">
        <v>39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25"/>
        <v>Middle age</v>
      </c>
      <c r="N637" t="s">
        <v>20</v>
      </c>
    </row>
    <row r="638" spans="1:14">
      <c r="A638">
        <v>29237</v>
      </c>
      <c r="B638" t="s">
        <v>41</v>
      </c>
      <c r="C638" t="s">
        <v>39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25"/>
        <v>Middle age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25"/>
        <v>Adolescent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25"/>
        <v>Old</v>
      </c>
      <c r="N640" t="s">
        <v>17</v>
      </c>
    </row>
    <row r="641" spans="1:14">
      <c r="A641">
        <v>14507</v>
      </c>
      <c r="B641" t="s">
        <v>38</v>
      </c>
      <c r="C641" t="s">
        <v>40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25"/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25"/>
        <v>Old</v>
      </c>
      <c r="N642" t="s">
        <v>17</v>
      </c>
    </row>
    <row r="643" spans="1:14">
      <c r="A643">
        <v>21441</v>
      </c>
      <c r="B643" t="s">
        <v>38</v>
      </c>
      <c r="C643" t="s">
        <v>40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42</v>
      </c>
      <c r="K643" t="s">
        <v>35</v>
      </c>
      <c r="L643">
        <v>64</v>
      </c>
      <c r="M643" t="str">
        <f t="shared" si="25"/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25"/>
        <v>Middle age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25"/>
        <v>Middle age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42</v>
      </c>
      <c r="K646" t="s">
        <v>35</v>
      </c>
      <c r="L646">
        <v>41</v>
      </c>
      <c r="M646" t="str">
        <f t="shared" si="25"/>
        <v>Middle age</v>
      </c>
      <c r="N646" t="s">
        <v>20</v>
      </c>
    </row>
    <row r="647" spans="1:14">
      <c r="A647">
        <v>16217</v>
      </c>
      <c r="B647" t="s">
        <v>41</v>
      </c>
      <c r="C647" t="s">
        <v>39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25"/>
        <v>Middle age</v>
      </c>
      <c r="N647" t="s">
        <v>20</v>
      </c>
    </row>
    <row r="648" spans="1:14">
      <c r="A648">
        <v>16247</v>
      </c>
      <c r="B648" t="s">
        <v>41</v>
      </c>
      <c r="C648" t="s">
        <v>39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25"/>
        <v>Middle age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25"/>
        <v>Middle age</v>
      </c>
      <c r="N649" t="s">
        <v>20</v>
      </c>
    </row>
    <row r="650" spans="1:14">
      <c r="A650">
        <v>25872</v>
      </c>
      <c r="B650" t="s">
        <v>41</v>
      </c>
      <c r="C650" t="s">
        <v>39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25"/>
        <v>Old</v>
      </c>
      <c r="N650" t="s">
        <v>17</v>
      </c>
    </row>
    <row r="651" spans="1:14">
      <c r="A651">
        <v>19164</v>
      </c>
      <c r="B651" t="s">
        <v>41</v>
      </c>
      <c r="C651" t="s">
        <v>39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25"/>
        <v>Middle age</v>
      </c>
      <c r="N651" t="s">
        <v>17</v>
      </c>
    </row>
    <row r="652" spans="1:14">
      <c r="A652">
        <v>18435</v>
      </c>
      <c r="B652" t="s">
        <v>41</v>
      </c>
      <c r="C652" t="s">
        <v>39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42</v>
      </c>
      <c r="K652" t="s">
        <v>35</v>
      </c>
      <c r="L652">
        <v>67</v>
      </c>
      <c r="M652" t="str">
        <f t="shared" ref="M652:M669" si="26">IF(L652&gt;=54,"Old",IF(L652&gt;=31,"Middle age",IF(L652&lt;31,"Adolescent","Invalid")))</f>
        <v>Old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26"/>
        <v>Middle age</v>
      </c>
      <c r="N653" t="s">
        <v>17</v>
      </c>
    </row>
    <row r="654" spans="1:14">
      <c r="A654">
        <v>11287</v>
      </c>
      <c r="B654" t="s">
        <v>38</v>
      </c>
      <c r="C654" t="s">
        <v>40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26"/>
        <v>Middle age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26"/>
        <v>Middle age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26"/>
        <v>Middle age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26"/>
        <v>Middle age</v>
      </c>
      <c r="N657" t="s">
        <v>20</v>
      </c>
    </row>
    <row r="658" spans="1:14">
      <c r="A658">
        <v>17531</v>
      </c>
      <c r="B658" t="s">
        <v>38</v>
      </c>
      <c r="C658" t="s">
        <v>40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26"/>
        <v>Middle age</v>
      </c>
      <c r="N658" t="s">
        <v>20</v>
      </c>
    </row>
    <row r="659" spans="1:14">
      <c r="A659">
        <v>12964</v>
      </c>
      <c r="B659" t="s">
        <v>38</v>
      </c>
      <c r="C659" t="s">
        <v>40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26"/>
        <v>Middle age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26"/>
        <v>Middle age</v>
      </c>
      <c r="N660" t="s">
        <v>17</v>
      </c>
    </row>
    <row r="661" spans="1:14">
      <c r="A661">
        <v>24643</v>
      </c>
      <c r="B661" t="s">
        <v>41</v>
      </c>
      <c r="C661" t="s">
        <v>39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42</v>
      </c>
      <c r="K661" t="s">
        <v>35</v>
      </c>
      <c r="L661">
        <v>63</v>
      </c>
      <c r="M661" t="str">
        <f t="shared" si="26"/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26"/>
        <v>Middle age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26"/>
        <v>Adolescent</v>
      </c>
      <c r="N663" t="s">
        <v>17</v>
      </c>
    </row>
    <row r="664" spans="1:14">
      <c r="A664">
        <v>27637</v>
      </c>
      <c r="B664" t="s">
        <v>41</v>
      </c>
      <c r="C664" t="s">
        <v>39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26"/>
        <v>Middle age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26"/>
        <v>Middle age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26"/>
        <v>Middle age</v>
      </c>
      <c r="N666" t="s">
        <v>17</v>
      </c>
    </row>
    <row r="667" spans="1:14">
      <c r="A667">
        <v>14443</v>
      </c>
      <c r="B667" t="s">
        <v>38</v>
      </c>
      <c r="C667" t="s">
        <v>40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26"/>
        <v>Middle age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26"/>
        <v>Middle age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42</v>
      </c>
      <c r="K669" t="s">
        <v>35</v>
      </c>
      <c r="L669">
        <v>61</v>
      </c>
      <c r="M669" t="str">
        <f t="shared" si="26"/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ref="M670:M694" si="27">IF(L670&gt;=54,"Old",IF(L670&gt;=31,"Middle age",IF(L670&lt;31,"Adolescent","Invalid")))</f>
        <v>Middle age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27"/>
        <v>Middle age</v>
      </c>
      <c r="N671" t="s">
        <v>20</v>
      </c>
    </row>
    <row r="672" spans="1:14">
      <c r="A672">
        <v>21471</v>
      </c>
      <c r="B672" t="s">
        <v>38</v>
      </c>
      <c r="C672" t="s">
        <v>40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42</v>
      </c>
      <c r="K672" t="s">
        <v>35</v>
      </c>
      <c r="L672">
        <v>59</v>
      </c>
      <c r="M672" t="str">
        <f t="shared" si="27"/>
        <v>Old</v>
      </c>
      <c r="N672" t="s">
        <v>20</v>
      </c>
    </row>
    <row r="673" spans="1:14">
      <c r="A673">
        <v>22252</v>
      </c>
      <c r="B673" t="s">
        <v>41</v>
      </c>
      <c r="C673" t="s">
        <v>39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27"/>
        <v>Middle age</v>
      </c>
      <c r="N673" t="s">
        <v>17</v>
      </c>
    </row>
    <row r="674" spans="1:14">
      <c r="A674">
        <v>21260</v>
      </c>
      <c r="B674" t="s">
        <v>41</v>
      </c>
      <c r="C674" t="s">
        <v>39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27"/>
        <v>Adolescent</v>
      </c>
      <c r="N674" t="s">
        <v>20</v>
      </c>
    </row>
    <row r="675" spans="1:14">
      <c r="A675">
        <v>11817</v>
      </c>
      <c r="B675" t="s">
        <v>41</v>
      </c>
      <c r="C675" t="s">
        <v>39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27"/>
        <v>Middle age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27"/>
        <v>Middle age</v>
      </c>
      <c r="N676" t="s">
        <v>20</v>
      </c>
    </row>
    <row r="677" spans="1:14">
      <c r="A677">
        <v>18517</v>
      </c>
      <c r="B677" t="s">
        <v>38</v>
      </c>
      <c r="C677" t="s">
        <v>40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27"/>
        <v>Middle age</v>
      </c>
      <c r="N677" t="s">
        <v>20</v>
      </c>
    </row>
    <row r="678" spans="1:14">
      <c r="A678">
        <v>21717</v>
      </c>
      <c r="B678" t="s">
        <v>38</v>
      </c>
      <c r="C678" t="s">
        <v>40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27"/>
        <v>Middle age</v>
      </c>
      <c r="N678" t="s">
        <v>20</v>
      </c>
    </row>
    <row r="679" spans="1:14">
      <c r="A679">
        <v>13760</v>
      </c>
      <c r="B679" t="s">
        <v>38</v>
      </c>
      <c r="C679" t="s">
        <v>40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27"/>
        <v>Middle age</v>
      </c>
      <c r="N679" t="s">
        <v>20</v>
      </c>
    </row>
    <row r="680" spans="1:14">
      <c r="A680">
        <v>18145</v>
      </c>
      <c r="B680" t="s">
        <v>38</v>
      </c>
      <c r="C680" t="s">
        <v>40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27"/>
        <v>Old</v>
      </c>
      <c r="N680" t="s">
        <v>20</v>
      </c>
    </row>
    <row r="681" spans="1:14">
      <c r="A681">
        <v>21770</v>
      </c>
      <c r="B681" t="s">
        <v>38</v>
      </c>
      <c r="C681" t="s">
        <v>40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42</v>
      </c>
      <c r="K681" t="s">
        <v>35</v>
      </c>
      <c r="L681">
        <v>60</v>
      </c>
      <c r="M681" t="str">
        <f t="shared" si="27"/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27"/>
        <v>Middle age</v>
      </c>
      <c r="N682" t="s">
        <v>20</v>
      </c>
    </row>
    <row r="683" spans="1:14">
      <c r="A683">
        <v>16377</v>
      </c>
      <c r="B683" t="s">
        <v>41</v>
      </c>
      <c r="C683" t="s">
        <v>39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27"/>
        <v>Middle age</v>
      </c>
      <c r="N683" t="s">
        <v>20</v>
      </c>
    </row>
    <row r="684" spans="1:14">
      <c r="A684">
        <v>26248</v>
      </c>
      <c r="B684" t="s">
        <v>38</v>
      </c>
      <c r="C684" t="s">
        <v>40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27"/>
        <v>Middle age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27"/>
        <v>Middle age</v>
      </c>
      <c r="N685" t="s">
        <v>20</v>
      </c>
    </row>
    <row r="686" spans="1:14">
      <c r="A686">
        <v>29133</v>
      </c>
      <c r="B686" t="s">
        <v>41</v>
      </c>
      <c r="C686" t="s">
        <v>39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27"/>
        <v>Middle age</v>
      </c>
      <c r="N686" t="s">
        <v>20</v>
      </c>
    </row>
    <row r="687" spans="1:14">
      <c r="A687">
        <v>27673</v>
      </c>
      <c r="B687" t="s">
        <v>41</v>
      </c>
      <c r="C687" t="s">
        <v>39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27"/>
        <v>Middle age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27"/>
        <v>Middle age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27"/>
        <v>Adolescent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27"/>
        <v>Adolescent</v>
      </c>
      <c r="N690" t="s">
        <v>20</v>
      </c>
    </row>
    <row r="691" spans="1:14">
      <c r="A691">
        <v>16725</v>
      </c>
      <c r="B691" t="s">
        <v>38</v>
      </c>
      <c r="C691" t="s">
        <v>40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27"/>
        <v>Adolescent</v>
      </c>
      <c r="N691" t="s">
        <v>20</v>
      </c>
    </row>
    <row r="692" spans="1:14">
      <c r="A692">
        <v>28269</v>
      </c>
      <c r="B692" t="s">
        <v>41</v>
      </c>
      <c r="C692" t="s">
        <v>39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27"/>
        <v>Middle age</v>
      </c>
      <c r="N692" t="s">
        <v>20</v>
      </c>
    </row>
    <row r="693" spans="1:14">
      <c r="A693">
        <v>23144</v>
      </c>
      <c r="B693" t="s">
        <v>38</v>
      </c>
      <c r="C693" t="s">
        <v>40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27"/>
        <v>Middle age</v>
      </c>
      <c r="N693" t="s">
        <v>17</v>
      </c>
    </row>
    <row r="694" spans="1:14">
      <c r="A694">
        <v>23376</v>
      </c>
      <c r="B694" t="s">
        <v>38</v>
      </c>
      <c r="C694" t="s">
        <v>40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27"/>
        <v>Middle age</v>
      </c>
      <c r="N694" t="s">
        <v>17</v>
      </c>
    </row>
    <row r="695" spans="1:14">
      <c r="A695">
        <v>25970</v>
      </c>
      <c r="B695" t="s">
        <v>41</v>
      </c>
      <c r="C695" t="s">
        <v>39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ref="M695:M709" si="28">IF(L695&gt;=54,"Old",IF(L695&gt;=31,"Middle age",IF(L695&lt;31,"Adolescent","Invalid")))</f>
        <v>Middle age</v>
      </c>
      <c r="N695" t="s">
        <v>17</v>
      </c>
    </row>
    <row r="696" spans="1:14">
      <c r="A696">
        <v>28068</v>
      </c>
      <c r="B696" t="s">
        <v>41</v>
      </c>
      <c r="C696" t="s">
        <v>39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28"/>
        <v>Middle age</v>
      </c>
      <c r="N696" t="s">
        <v>17</v>
      </c>
    </row>
    <row r="697" spans="1:14">
      <c r="A697">
        <v>18390</v>
      </c>
      <c r="B697" t="s">
        <v>38</v>
      </c>
      <c r="C697" t="s">
        <v>40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28"/>
        <v>Middle age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28"/>
        <v>Adolescent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28"/>
        <v>Adolescent</v>
      </c>
      <c r="N699" t="s">
        <v>20</v>
      </c>
    </row>
    <row r="700" spans="1:14">
      <c r="A700">
        <v>27040</v>
      </c>
      <c r="B700" t="s">
        <v>38</v>
      </c>
      <c r="C700" t="s">
        <v>40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28"/>
        <v>Middle age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28"/>
        <v>Middle age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28"/>
        <v>Old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28"/>
        <v>Adolescent</v>
      </c>
      <c r="N703" t="s">
        <v>20</v>
      </c>
    </row>
    <row r="704" spans="1:14">
      <c r="A704">
        <v>13314</v>
      </c>
      <c r="B704" t="s">
        <v>38</v>
      </c>
      <c r="C704" t="s">
        <v>40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28"/>
        <v>Middle age</v>
      </c>
      <c r="N704" t="s">
        <v>17</v>
      </c>
    </row>
    <row r="705" spans="1:14">
      <c r="A705">
        <v>11619</v>
      </c>
      <c r="B705" t="s">
        <v>41</v>
      </c>
      <c r="C705" t="s">
        <v>39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28"/>
        <v>Middle age</v>
      </c>
      <c r="N705" t="s">
        <v>20</v>
      </c>
    </row>
    <row r="706" spans="1:14">
      <c r="A706">
        <v>29132</v>
      </c>
      <c r="B706" t="s">
        <v>41</v>
      </c>
      <c r="C706" t="s">
        <v>39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28"/>
        <v>Middle age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42</v>
      </c>
      <c r="K707" t="s">
        <v>35</v>
      </c>
      <c r="L707">
        <v>59</v>
      </c>
      <c r="M707" t="str">
        <f t="shared" si="28"/>
        <v>Old</v>
      </c>
      <c r="N707" t="s">
        <v>20</v>
      </c>
    </row>
    <row r="708" spans="1:14">
      <c r="A708">
        <v>20296</v>
      </c>
      <c r="B708" t="s">
        <v>41</v>
      </c>
      <c r="C708" t="s">
        <v>39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28"/>
        <v>Middle age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28"/>
        <v>Middle age</v>
      </c>
      <c r="N709" t="s">
        <v>17</v>
      </c>
    </row>
    <row r="710" spans="1:14">
      <c r="A710">
        <v>18069</v>
      </c>
      <c r="B710" t="s">
        <v>38</v>
      </c>
      <c r="C710" t="s">
        <v>40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42</v>
      </c>
      <c r="K710" t="s">
        <v>35</v>
      </c>
      <c r="L710">
        <v>60</v>
      </c>
      <c r="M710" t="str">
        <f t="shared" ref="M710:M729" si="29">IF(L710&gt;=54,"Old",IF(L710&gt;=31,"Middle age",IF(L710&lt;31,"Adolescent","Invalid")))</f>
        <v>Old</v>
      </c>
      <c r="N710" t="s">
        <v>20</v>
      </c>
    </row>
    <row r="711" spans="1:14">
      <c r="A711">
        <v>23712</v>
      </c>
      <c r="B711" t="s">
        <v>41</v>
      </c>
      <c r="C711" t="s">
        <v>39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42</v>
      </c>
      <c r="K711" t="s">
        <v>35</v>
      </c>
      <c r="L711">
        <v>59</v>
      </c>
      <c r="M711" t="str">
        <f t="shared" si="29"/>
        <v>Old</v>
      </c>
      <c r="N711" t="s">
        <v>20</v>
      </c>
    </row>
    <row r="712" spans="1:14">
      <c r="A712">
        <v>23358</v>
      </c>
      <c r="B712" t="s">
        <v>38</v>
      </c>
      <c r="C712" t="s">
        <v>40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29"/>
        <v>Middle age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42</v>
      </c>
      <c r="K713" t="s">
        <v>35</v>
      </c>
      <c r="L713">
        <v>58</v>
      </c>
      <c r="M713" t="str">
        <f t="shared" si="29"/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29"/>
        <v>Old</v>
      </c>
      <c r="N714" t="s">
        <v>20</v>
      </c>
    </row>
    <row r="715" spans="1:14">
      <c r="A715">
        <v>11669</v>
      </c>
      <c r="B715" t="s">
        <v>41</v>
      </c>
      <c r="C715" t="s">
        <v>39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29"/>
        <v>Middle age</v>
      </c>
      <c r="N715" t="s">
        <v>20</v>
      </c>
    </row>
    <row r="716" spans="1:14">
      <c r="A716">
        <v>16020</v>
      </c>
      <c r="B716" t="s">
        <v>38</v>
      </c>
      <c r="C716" t="s">
        <v>40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29"/>
        <v>Adolescent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29"/>
        <v>Middle age</v>
      </c>
      <c r="N717" t="s">
        <v>17</v>
      </c>
    </row>
    <row r="718" spans="1:14">
      <c r="A718">
        <v>27198</v>
      </c>
      <c r="B718" t="s">
        <v>41</v>
      </c>
      <c r="C718" t="s">
        <v>39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29"/>
        <v>Middle age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29"/>
        <v>Middle age</v>
      </c>
      <c r="N719" t="s">
        <v>17</v>
      </c>
    </row>
    <row r="720" spans="1:14">
      <c r="A720">
        <v>26327</v>
      </c>
      <c r="B720" t="s">
        <v>38</v>
      </c>
      <c r="C720" t="s">
        <v>40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29"/>
        <v>Middle age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29"/>
        <v>Middle age</v>
      </c>
      <c r="N721" t="s">
        <v>20</v>
      </c>
    </row>
    <row r="722" spans="1:14">
      <c r="A722">
        <v>24958</v>
      </c>
      <c r="B722" t="s">
        <v>41</v>
      </c>
      <c r="C722" t="s">
        <v>39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29"/>
        <v>Old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29"/>
        <v>Middle age</v>
      </c>
      <c r="N723" t="s">
        <v>17</v>
      </c>
    </row>
    <row r="724" spans="1:14">
      <c r="A724">
        <v>14493</v>
      </c>
      <c r="B724" t="s">
        <v>41</v>
      </c>
      <c r="C724" t="s">
        <v>39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29"/>
        <v>Middle age</v>
      </c>
      <c r="N724" t="s">
        <v>20</v>
      </c>
    </row>
    <row r="725" spans="1:14">
      <c r="A725">
        <v>26678</v>
      </c>
      <c r="B725" t="s">
        <v>41</v>
      </c>
      <c r="C725" t="s">
        <v>39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29"/>
        <v>Middle age</v>
      </c>
      <c r="N725" t="s">
        <v>20</v>
      </c>
    </row>
    <row r="726" spans="1:14">
      <c r="A726">
        <v>23275</v>
      </c>
      <c r="B726" t="s">
        <v>38</v>
      </c>
      <c r="C726" t="s">
        <v>40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29"/>
        <v>Middle age</v>
      </c>
      <c r="N726" t="s">
        <v>20</v>
      </c>
    </row>
    <row r="727" spans="1:14">
      <c r="A727">
        <v>11270</v>
      </c>
      <c r="B727" t="s">
        <v>38</v>
      </c>
      <c r="C727" t="s">
        <v>40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29"/>
        <v>Middle age</v>
      </c>
      <c r="N727" t="s">
        <v>17</v>
      </c>
    </row>
    <row r="728" spans="1:14">
      <c r="A728">
        <v>20084</v>
      </c>
      <c r="B728" t="s">
        <v>38</v>
      </c>
      <c r="C728" t="s">
        <v>40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29"/>
        <v>Middle age</v>
      </c>
      <c r="N728" t="s">
        <v>20</v>
      </c>
    </row>
    <row r="729" spans="1:14">
      <c r="A729">
        <v>16144</v>
      </c>
      <c r="B729" t="s">
        <v>38</v>
      </c>
      <c r="C729" t="s">
        <v>40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29"/>
        <v>Middle age</v>
      </c>
      <c r="N729" t="s">
        <v>17</v>
      </c>
    </row>
    <row r="730" spans="1:14">
      <c r="A730">
        <v>27731</v>
      </c>
      <c r="B730" t="s">
        <v>38</v>
      </c>
      <c r="C730" t="s">
        <v>40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ref="M730:M758" si="30">IF(L730&gt;=54,"Old",IF(L730&gt;=31,"Middle age",IF(L730&lt;31,"Adolescent","Invalid")))</f>
        <v>Adolescent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30"/>
        <v>Middle age</v>
      </c>
      <c r="N731" t="s">
        <v>17</v>
      </c>
    </row>
    <row r="732" spans="1:14">
      <c r="A732">
        <v>24324</v>
      </c>
      <c r="B732" t="s">
        <v>41</v>
      </c>
      <c r="C732" t="s">
        <v>39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30"/>
        <v>Middle age</v>
      </c>
      <c r="N732" t="s">
        <v>17</v>
      </c>
    </row>
    <row r="733" spans="1:14">
      <c r="A733">
        <v>22220</v>
      </c>
      <c r="B733" t="s">
        <v>38</v>
      </c>
      <c r="C733" t="s">
        <v>40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30"/>
        <v>Middle age</v>
      </c>
      <c r="N733" t="s">
        <v>17</v>
      </c>
    </row>
    <row r="734" spans="1:14">
      <c r="A734">
        <v>26625</v>
      </c>
      <c r="B734" t="s">
        <v>41</v>
      </c>
      <c r="C734" t="s">
        <v>39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30"/>
        <v>Middle age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30"/>
        <v>Middle age</v>
      </c>
      <c r="N735" t="s">
        <v>20</v>
      </c>
    </row>
    <row r="736" spans="1:14">
      <c r="A736">
        <v>16867</v>
      </c>
      <c r="B736" t="s">
        <v>41</v>
      </c>
      <c r="C736" t="s">
        <v>39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30"/>
        <v>Middle age</v>
      </c>
      <c r="N736" t="s">
        <v>17</v>
      </c>
    </row>
    <row r="737" spans="1:14">
      <c r="A737">
        <v>14514</v>
      </c>
      <c r="B737" t="s">
        <v>41</v>
      </c>
      <c r="C737" t="s">
        <v>39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30"/>
        <v>Adolescent</v>
      </c>
      <c r="N737" t="s">
        <v>20</v>
      </c>
    </row>
    <row r="738" spans="1:14">
      <c r="A738">
        <v>19634</v>
      </c>
      <c r="B738" t="s">
        <v>38</v>
      </c>
      <c r="C738" t="s">
        <v>40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30"/>
        <v>Middle age</v>
      </c>
      <c r="N738" t="s">
        <v>20</v>
      </c>
    </row>
    <row r="739" spans="1:14">
      <c r="A739">
        <v>18504</v>
      </c>
      <c r="B739" t="s">
        <v>38</v>
      </c>
      <c r="C739" t="s">
        <v>40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30"/>
        <v>Middle age</v>
      </c>
      <c r="N739" t="s">
        <v>20</v>
      </c>
    </row>
    <row r="740" spans="1:14">
      <c r="A740">
        <v>28799</v>
      </c>
      <c r="B740" t="s">
        <v>41</v>
      </c>
      <c r="C740" t="s">
        <v>39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30"/>
        <v>Middle age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42</v>
      </c>
      <c r="K741" t="s">
        <v>35</v>
      </c>
      <c r="L741">
        <v>55</v>
      </c>
      <c r="M741" t="str">
        <f t="shared" si="30"/>
        <v>Old</v>
      </c>
      <c r="N741" t="s">
        <v>20</v>
      </c>
    </row>
    <row r="742" spans="1:14">
      <c r="A742">
        <v>17657</v>
      </c>
      <c r="B742" t="s">
        <v>38</v>
      </c>
      <c r="C742" t="s">
        <v>40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30"/>
        <v>Adolescent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30"/>
        <v>Middle age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30"/>
        <v>Adolescent</v>
      </c>
      <c r="N744" t="s">
        <v>20</v>
      </c>
    </row>
    <row r="745" spans="1:14">
      <c r="A745">
        <v>13296</v>
      </c>
      <c r="B745" t="s">
        <v>38</v>
      </c>
      <c r="C745" t="s">
        <v>40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30"/>
        <v>Middle age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42</v>
      </c>
      <c r="K746" t="s">
        <v>35</v>
      </c>
      <c r="L746">
        <v>56</v>
      </c>
      <c r="M746" t="str">
        <f t="shared" si="30"/>
        <v>Old</v>
      </c>
      <c r="N746" t="s">
        <v>20</v>
      </c>
    </row>
    <row r="747" spans="1:14">
      <c r="A747">
        <v>12452</v>
      </c>
      <c r="B747" t="s">
        <v>38</v>
      </c>
      <c r="C747" t="s">
        <v>40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30"/>
        <v>Middle age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42</v>
      </c>
      <c r="K748" t="s">
        <v>35</v>
      </c>
      <c r="L748">
        <v>56</v>
      </c>
      <c r="M748" t="str">
        <f t="shared" si="30"/>
        <v>Old</v>
      </c>
      <c r="N748" t="s">
        <v>20</v>
      </c>
    </row>
    <row r="749" spans="1:14">
      <c r="A749">
        <v>12957</v>
      </c>
      <c r="B749" t="s">
        <v>41</v>
      </c>
      <c r="C749" t="s">
        <v>39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30"/>
        <v>Middle age</v>
      </c>
      <c r="N749" t="s">
        <v>20</v>
      </c>
    </row>
    <row r="750" spans="1:14">
      <c r="A750">
        <v>15412</v>
      </c>
      <c r="B750" t="s">
        <v>38</v>
      </c>
      <c r="C750" t="s">
        <v>40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30"/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30"/>
        <v>Old</v>
      </c>
      <c r="N751" t="s">
        <v>20</v>
      </c>
    </row>
    <row r="752" spans="1:14">
      <c r="A752">
        <v>20758</v>
      </c>
      <c r="B752" t="s">
        <v>38</v>
      </c>
      <c r="C752" t="s">
        <v>40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30"/>
        <v>Middle age</v>
      </c>
      <c r="N752" t="s">
        <v>20</v>
      </c>
    </row>
    <row r="753" spans="1:14">
      <c r="A753">
        <v>11801</v>
      </c>
      <c r="B753" t="s">
        <v>38</v>
      </c>
      <c r="C753" t="s">
        <v>40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30"/>
        <v>Middle age</v>
      </c>
      <c r="N753" t="s">
        <v>20</v>
      </c>
    </row>
    <row r="754" spans="1:14">
      <c r="A754">
        <v>22211</v>
      </c>
      <c r="B754" t="s">
        <v>38</v>
      </c>
      <c r="C754" t="s">
        <v>40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30"/>
        <v>Middle age</v>
      </c>
      <c r="N754" t="s">
        <v>20</v>
      </c>
    </row>
    <row r="755" spans="1:14">
      <c r="A755">
        <v>28087</v>
      </c>
      <c r="B755" t="s">
        <v>41</v>
      </c>
      <c r="C755" t="s">
        <v>39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30"/>
        <v>Adolescent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30"/>
        <v>Old</v>
      </c>
      <c r="N756" t="s">
        <v>17</v>
      </c>
    </row>
    <row r="757" spans="1:14">
      <c r="A757">
        <v>27441</v>
      </c>
      <c r="B757" t="s">
        <v>38</v>
      </c>
      <c r="C757" t="s">
        <v>40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30"/>
        <v>Middle age</v>
      </c>
      <c r="N757" t="s">
        <v>20</v>
      </c>
    </row>
    <row r="758" spans="1:14">
      <c r="A758">
        <v>27261</v>
      </c>
      <c r="B758" t="s">
        <v>38</v>
      </c>
      <c r="C758" t="s">
        <v>40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ref="M758:M771" si="31">IF(L758&gt;=54,"Old",IF(L758&gt;=31,"Middle age",IF(L758&lt;31,"Adolescent","Invalid")))</f>
        <v>Middle age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31"/>
        <v>Middle age</v>
      </c>
      <c r="N759" t="s">
        <v>17</v>
      </c>
    </row>
    <row r="760" spans="1:14">
      <c r="A760">
        <v>21714</v>
      </c>
      <c r="B760" t="s">
        <v>41</v>
      </c>
      <c r="C760" t="s">
        <v>39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31"/>
        <v>Middle age</v>
      </c>
      <c r="N760" t="s">
        <v>20</v>
      </c>
    </row>
    <row r="761" spans="1:14">
      <c r="A761">
        <v>23217</v>
      </c>
      <c r="B761" t="s">
        <v>41</v>
      </c>
      <c r="C761" t="s">
        <v>39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31"/>
        <v>Middle age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31"/>
        <v>Middle age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42</v>
      </c>
      <c r="K763" t="s">
        <v>35</v>
      </c>
      <c r="L763">
        <v>59</v>
      </c>
      <c r="M763" t="str">
        <f t="shared" si="31"/>
        <v>Old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31"/>
        <v>Middle age</v>
      </c>
      <c r="N764" t="s">
        <v>17</v>
      </c>
    </row>
    <row r="765" spans="1:14">
      <c r="A765">
        <v>12882</v>
      </c>
      <c r="B765" t="s">
        <v>38</v>
      </c>
      <c r="C765" t="s">
        <v>40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31"/>
        <v>Middle age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31"/>
        <v>Adolescent</v>
      </c>
      <c r="N766" t="s">
        <v>20</v>
      </c>
    </row>
    <row r="767" spans="1:14">
      <c r="A767">
        <v>16753</v>
      </c>
      <c r="B767" t="s">
        <v>41</v>
      </c>
      <c r="C767" t="s">
        <v>39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31"/>
        <v>Middle age</v>
      </c>
      <c r="N767" t="s">
        <v>17</v>
      </c>
    </row>
    <row r="768" spans="1:14">
      <c r="A768">
        <v>14608</v>
      </c>
      <c r="B768" t="s">
        <v>38</v>
      </c>
      <c r="C768" t="s">
        <v>40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42</v>
      </c>
      <c r="K768" t="s">
        <v>35</v>
      </c>
      <c r="L768">
        <v>42</v>
      </c>
      <c r="M768" t="str">
        <f t="shared" si="31"/>
        <v>Middle age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31"/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31"/>
        <v>Middle age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si="31"/>
        <v>Middle age</v>
      </c>
      <c r="N771" t="s">
        <v>20</v>
      </c>
    </row>
    <row r="772" spans="1:14">
      <c r="A772">
        <v>17699</v>
      </c>
      <c r="B772" t="s">
        <v>38</v>
      </c>
      <c r="C772" t="s">
        <v>40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ref="M772:M781" si="32">IF(L772&gt;=54,"Old",IF(L772&gt;=31,"Middle age",IF(L772&lt;31,"Adolescent","Invalid")))</f>
        <v>Old</v>
      </c>
      <c r="N772" t="s">
        <v>20</v>
      </c>
    </row>
    <row r="773" spans="1:14">
      <c r="A773">
        <v>14657</v>
      </c>
      <c r="B773" t="s">
        <v>38</v>
      </c>
      <c r="C773" t="s">
        <v>40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32"/>
        <v>Middle age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32"/>
        <v>Middle age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32"/>
        <v>Middle age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32"/>
        <v>Middle age</v>
      </c>
      <c r="N776" t="s">
        <v>17</v>
      </c>
    </row>
    <row r="777" spans="1:14">
      <c r="A777">
        <v>29030</v>
      </c>
      <c r="B777" t="s">
        <v>38</v>
      </c>
      <c r="C777" t="s">
        <v>40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42</v>
      </c>
      <c r="K777" t="s">
        <v>35</v>
      </c>
      <c r="L777">
        <v>54</v>
      </c>
      <c r="M777" t="str">
        <f t="shared" si="32"/>
        <v>Old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32"/>
        <v>Old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32"/>
        <v>Adolescent</v>
      </c>
      <c r="N779" t="s">
        <v>20</v>
      </c>
    </row>
    <row r="780" spans="1:14">
      <c r="A780">
        <v>17260</v>
      </c>
      <c r="B780" t="s">
        <v>38</v>
      </c>
      <c r="C780" t="s">
        <v>40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ref="M780:M796" si="33">IF(L780&gt;=54,"Old",IF(L780&gt;=31,"Middle age",IF(L780&lt;31,"Adolescent","Invalid")))</f>
        <v>Middle age</v>
      </c>
      <c r="N780" t="s">
        <v>20</v>
      </c>
    </row>
    <row r="781" spans="1:14">
      <c r="A781">
        <v>15372</v>
      </c>
      <c r="B781" t="s">
        <v>38</v>
      </c>
      <c r="C781" t="s">
        <v>40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33"/>
        <v>Middle age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42</v>
      </c>
      <c r="K782" t="s">
        <v>35</v>
      </c>
      <c r="L782">
        <v>55</v>
      </c>
      <c r="M782" t="str">
        <f t="shared" si="33"/>
        <v>Old</v>
      </c>
      <c r="N782" t="s">
        <v>20</v>
      </c>
    </row>
    <row r="783" spans="1:14">
      <c r="A783">
        <v>19660</v>
      </c>
      <c r="B783" t="s">
        <v>38</v>
      </c>
      <c r="C783" t="s">
        <v>40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33"/>
        <v>Middle age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33"/>
        <v>Middle age</v>
      </c>
      <c r="N784" t="s">
        <v>17</v>
      </c>
    </row>
    <row r="785" spans="1:14">
      <c r="A785">
        <v>20698</v>
      </c>
      <c r="B785" t="s">
        <v>38</v>
      </c>
      <c r="C785" t="s">
        <v>40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33"/>
        <v>Middle age</v>
      </c>
      <c r="N785" t="s">
        <v>20</v>
      </c>
    </row>
    <row r="786" spans="1:14">
      <c r="A786">
        <v>20076</v>
      </c>
      <c r="B786" t="s">
        <v>41</v>
      </c>
      <c r="C786" t="s">
        <v>39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33"/>
        <v>Middle age</v>
      </c>
      <c r="N786" t="s">
        <v>17</v>
      </c>
    </row>
    <row r="787" spans="1:14">
      <c r="A787">
        <v>24496</v>
      </c>
      <c r="B787" t="s">
        <v>41</v>
      </c>
      <c r="C787" t="s">
        <v>39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33"/>
        <v>Adolescent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33"/>
        <v>Middle age</v>
      </c>
      <c r="N788" t="s">
        <v>20</v>
      </c>
    </row>
    <row r="789" spans="1:14">
      <c r="A789">
        <v>28031</v>
      </c>
      <c r="B789" t="s">
        <v>41</v>
      </c>
      <c r="C789" t="s">
        <v>39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33"/>
        <v>Old</v>
      </c>
      <c r="N789" t="s">
        <v>17</v>
      </c>
    </row>
    <row r="790" spans="1:14">
      <c r="A790">
        <v>26270</v>
      </c>
      <c r="B790" t="s">
        <v>41</v>
      </c>
      <c r="C790" t="s">
        <v>39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33"/>
        <v>Middle age</v>
      </c>
      <c r="N790" t="s">
        <v>20</v>
      </c>
    </row>
    <row r="791" spans="1:14">
      <c r="A791">
        <v>22221</v>
      </c>
      <c r="B791" t="s">
        <v>38</v>
      </c>
      <c r="C791" t="s">
        <v>40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33"/>
        <v>Middle age</v>
      </c>
      <c r="N791" t="s">
        <v>17</v>
      </c>
    </row>
    <row r="792" spans="1:14">
      <c r="A792">
        <v>28228</v>
      </c>
      <c r="B792" t="s">
        <v>41</v>
      </c>
      <c r="C792" t="s">
        <v>39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33"/>
        <v>Middle age</v>
      </c>
      <c r="N792" t="s">
        <v>20</v>
      </c>
    </row>
    <row r="793" spans="1:14">
      <c r="A793">
        <v>18363</v>
      </c>
      <c r="B793" t="s">
        <v>38</v>
      </c>
      <c r="C793" t="s">
        <v>40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33"/>
        <v>Adolescent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33"/>
        <v>Middle age</v>
      </c>
      <c r="N794" t="s">
        <v>20</v>
      </c>
    </row>
    <row r="795" spans="1:14">
      <c r="A795">
        <v>12768</v>
      </c>
      <c r="B795" t="s">
        <v>38</v>
      </c>
      <c r="C795" t="s">
        <v>40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33"/>
        <v>Middle age</v>
      </c>
      <c r="N795" t="s">
        <v>17</v>
      </c>
    </row>
    <row r="796" spans="1:14">
      <c r="A796">
        <v>20361</v>
      </c>
      <c r="B796" t="s">
        <v>38</v>
      </c>
      <c r="C796" t="s">
        <v>40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33"/>
        <v>Old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ref="M797:M813" si="34">IF(L797&gt;=54,"Old",IF(L797&gt;=31,"Middle age",IF(L797&lt;31,"Adolescent","Invalid")))</f>
        <v>Middle age</v>
      </c>
      <c r="N797" t="s">
        <v>20</v>
      </c>
    </row>
    <row r="798" spans="1:14">
      <c r="A798">
        <v>13382</v>
      </c>
      <c r="B798" t="s">
        <v>38</v>
      </c>
      <c r="C798" t="s">
        <v>40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34"/>
        <v>Old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34"/>
        <v>Adolescent</v>
      </c>
      <c r="N799" t="s">
        <v>17</v>
      </c>
    </row>
    <row r="800" spans="1:14">
      <c r="A800">
        <v>22971</v>
      </c>
      <c r="B800" t="s">
        <v>41</v>
      </c>
      <c r="C800" t="s">
        <v>39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34"/>
        <v>Adolescent</v>
      </c>
      <c r="N800" t="s">
        <v>17</v>
      </c>
    </row>
    <row r="801" spans="1:14">
      <c r="A801">
        <v>15287</v>
      </c>
      <c r="B801" t="s">
        <v>41</v>
      </c>
      <c r="C801" t="s">
        <v>39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34"/>
        <v>Middle age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34"/>
        <v>Middle age</v>
      </c>
      <c r="N802" t="s">
        <v>17</v>
      </c>
    </row>
    <row r="803" spans="1:14">
      <c r="A803">
        <v>11255</v>
      </c>
      <c r="B803" t="s">
        <v>38</v>
      </c>
      <c r="C803" t="s">
        <v>40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34"/>
        <v>Old</v>
      </c>
      <c r="N803" t="s">
        <v>20</v>
      </c>
    </row>
    <row r="804" spans="1:14">
      <c r="A804">
        <v>28090</v>
      </c>
      <c r="B804" t="s">
        <v>38</v>
      </c>
      <c r="C804" t="s">
        <v>40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34"/>
        <v>Adolescent</v>
      </c>
      <c r="N804" t="s">
        <v>20</v>
      </c>
    </row>
    <row r="805" spans="1:14">
      <c r="A805">
        <v>15255</v>
      </c>
      <c r="B805" t="s">
        <v>38</v>
      </c>
      <c r="C805" t="s">
        <v>40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34"/>
        <v>Adolescent</v>
      </c>
      <c r="N805" t="s">
        <v>17</v>
      </c>
    </row>
    <row r="806" spans="1:14">
      <c r="A806">
        <v>13154</v>
      </c>
      <c r="B806" t="s">
        <v>38</v>
      </c>
      <c r="C806" t="s">
        <v>40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34"/>
        <v>Adolescent</v>
      </c>
      <c r="N806" t="s">
        <v>17</v>
      </c>
    </row>
    <row r="807" spans="1:14">
      <c r="A807">
        <v>26778</v>
      </c>
      <c r="B807" t="s">
        <v>41</v>
      </c>
      <c r="C807" t="s">
        <v>39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34"/>
        <v>Middle age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34"/>
        <v>Middle age</v>
      </c>
      <c r="N808" t="s">
        <v>20</v>
      </c>
    </row>
    <row r="809" spans="1:14">
      <c r="A809">
        <v>21417</v>
      </c>
      <c r="B809" t="s">
        <v>41</v>
      </c>
      <c r="C809" t="s">
        <v>39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34"/>
        <v>Middle age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34"/>
        <v>Middle age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34"/>
        <v>Old</v>
      </c>
      <c r="N811" t="s">
        <v>20</v>
      </c>
    </row>
    <row r="812" spans="1:14">
      <c r="A812">
        <v>20376</v>
      </c>
      <c r="B812" t="s">
        <v>41</v>
      </c>
      <c r="C812" t="s">
        <v>39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34"/>
        <v>Middle age</v>
      </c>
      <c r="N812" t="s">
        <v>17</v>
      </c>
    </row>
    <row r="813" spans="1:14">
      <c r="A813">
        <v>25954</v>
      </c>
      <c r="B813" t="s">
        <v>38</v>
      </c>
      <c r="C813" t="s">
        <v>40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34"/>
        <v>Middle age</v>
      </c>
      <c r="N813" t="s">
        <v>20</v>
      </c>
    </row>
    <row r="814" spans="1:14">
      <c r="A814">
        <v>15749</v>
      </c>
      <c r="B814" t="s">
        <v>41</v>
      </c>
      <c r="C814" t="s">
        <v>39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42</v>
      </c>
      <c r="K814" t="s">
        <v>35</v>
      </c>
      <c r="L814">
        <v>61</v>
      </c>
      <c r="M814" t="str">
        <f t="shared" ref="M814:M831" si="35">IF(L814&gt;=54,"Old",IF(L814&gt;=31,"Middle age",IF(L814&lt;31,"Adolescent","Invalid")))</f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42</v>
      </c>
      <c r="K815" t="s">
        <v>35</v>
      </c>
      <c r="L815">
        <v>53</v>
      </c>
      <c r="M815" t="str">
        <f t="shared" si="35"/>
        <v>Middle age</v>
      </c>
      <c r="N815" t="s">
        <v>20</v>
      </c>
    </row>
    <row r="816" spans="1:14">
      <c r="A816">
        <v>13351</v>
      </c>
      <c r="B816" t="s">
        <v>41</v>
      </c>
      <c r="C816" t="s">
        <v>39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35"/>
        <v>Old</v>
      </c>
      <c r="N816" t="s">
        <v>17</v>
      </c>
    </row>
    <row r="817" spans="1:14">
      <c r="A817">
        <v>23333</v>
      </c>
      <c r="B817" t="s">
        <v>38</v>
      </c>
      <c r="C817" t="s">
        <v>40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35"/>
        <v>Adolescent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35"/>
        <v>Middle age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35"/>
        <v>Middle age</v>
      </c>
      <c r="N819" t="s">
        <v>17</v>
      </c>
    </row>
    <row r="820" spans="1:14">
      <c r="A820">
        <v>24514</v>
      </c>
      <c r="B820" t="s">
        <v>38</v>
      </c>
      <c r="C820" t="s">
        <v>40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35"/>
        <v>Adolescent</v>
      </c>
      <c r="N820" t="s">
        <v>20</v>
      </c>
    </row>
    <row r="821" spans="1:14">
      <c r="A821">
        <v>27505</v>
      </c>
      <c r="B821" t="s">
        <v>41</v>
      </c>
      <c r="C821" t="s">
        <v>39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35"/>
        <v>Adolescent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35"/>
        <v>Middle age</v>
      </c>
      <c r="N822" t="s">
        <v>20</v>
      </c>
    </row>
    <row r="823" spans="1:14">
      <c r="A823">
        <v>26582</v>
      </c>
      <c r="B823" t="s">
        <v>38</v>
      </c>
      <c r="C823" t="s">
        <v>40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35"/>
        <v>Middle age</v>
      </c>
      <c r="N823" t="s">
        <v>17</v>
      </c>
    </row>
    <row r="824" spans="1:14">
      <c r="A824">
        <v>14271</v>
      </c>
      <c r="B824" t="s">
        <v>38</v>
      </c>
      <c r="C824" t="s">
        <v>40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35"/>
        <v>Middle age</v>
      </c>
      <c r="N824" t="s">
        <v>20</v>
      </c>
    </row>
    <row r="825" spans="1:14">
      <c r="A825">
        <v>23041</v>
      </c>
      <c r="B825" t="s">
        <v>41</v>
      </c>
      <c r="C825" t="s">
        <v>39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35"/>
        <v>Middle age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35"/>
        <v>Middle age</v>
      </c>
      <c r="N826" t="s">
        <v>17</v>
      </c>
    </row>
    <row r="827" spans="1:14">
      <c r="A827">
        <v>24433</v>
      </c>
      <c r="B827" t="s">
        <v>38</v>
      </c>
      <c r="C827" t="s">
        <v>40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35"/>
        <v>Middle age</v>
      </c>
      <c r="N827" t="s">
        <v>17</v>
      </c>
    </row>
    <row r="828" spans="1:14">
      <c r="A828">
        <v>15501</v>
      </c>
      <c r="B828" t="s">
        <v>38</v>
      </c>
      <c r="C828" t="s">
        <v>40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35"/>
        <v>Middle age</v>
      </c>
      <c r="N828" t="s">
        <v>17</v>
      </c>
    </row>
    <row r="829" spans="1:14">
      <c r="A829">
        <v>13911</v>
      </c>
      <c r="B829" t="s">
        <v>41</v>
      </c>
      <c r="C829" t="s">
        <v>39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35"/>
        <v>Middle age</v>
      </c>
      <c r="N829" t="s">
        <v>17</v>
      </c>
    </row>
    <row r="830" spans="1:14">
      <c r="A830">
        <v>20421</v>
      </c>
      <c r="B830" t="s">
        <v>41</v>
      </c>
      <c r="C830" t="s">
        <v>39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35"/>
        <v>Adolescent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ref="M831:M849" si="36">IF(L831&gt;=54,"Old",IF(L831&gt;=31,"Middle age",IF(L831&lt;31,"Adolescent","Invalid")))</f>
        <v>Old</v>
      </c>
      <c r="N831" t="s">
        <v>20</v>
      </c>
    </row>
    <row r="832" spans="1:14">
      <c r="A832">
        <v>18411</v>
      </c>
      <c r="B832" t="s">
        <v>38</v>
      </c>
      <c r="C832" t="s">
        <v>40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36"/>
        <v>Middle age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36"/>
        <v>Middle age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36"/>
        <v>Middle age</v>
      </c>
      <c r="N834" t="s">
        <v>20</v>
      </c>
    </row>
    <row r="835" spans="1:14">
      <c r="A835">
        <v>27540</v>
      </c>
      <c r="B835" t="s">
        <v>41</v>
      </c>
      <c r="C835" t="s">
        <v>39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si="36"/>
        <v>Middle age</v>
      </c>
      <c r="N835" t="s">
        <v>17</v>
      </c>
    </row>
    <row r="836" spans="1:14">
      <c r="A836">
        <v>19889</v>
      </c>
      <c r="B836" t="s">
        <v>41</v>
      </c>
      <c r="C836" t="s">
        <v>39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36"/>
        <v>Old</v>
      </c>
      <c r="N836" t="s">
        <v>17</v>
      </c>
    </row>
    <row r="837" spans="1:14">
      <c r="A837">
        <v>12922</v>
      </c>
      <c r="B837" t="s">
        <v>41</v>
      </c>
      <c r="C837" t="s">
        <v>39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36"/>
        <v>Middle age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36"/>
        <v>Adolescent</v>
      </c>
      <c r="N838" t="s">
        <v>20</v>
      </c>
    </row>
    <row r="839" spans="1:14">
      <c r="A839">
        <v>16773</v>
      </c>
      <c r="B839" t="s">
        <v>38</v>
      </c>
      <c r="C839" t="s">
        <v>40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36"/>
        <v>Middle age</v>
      </c>
      <c r="N839" t="s">
        <v>20</v>
      </c>
    </row>
    <row r="840" spans="1:14">
      <c r="A840">
        <v>19143</v>
      </c>
      <c r="B840" t="s">
        <v>41</v>
      </c>
      <c r="C840" t="s">
        <v>39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36"/>
        <v>Middle age</v>
      </c>
      <c r="N840" t="s">
        <v>17</v>
      </c>
    </row>
    <row r="841" spans="1:14">
      <c r="A841">
        <v>23882</v>
      </c>
      <c r="B841" t="s">
        <v>41</v>
      </c>
      <c r="C841" t="s">
        <v>39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36"/>
        <v>Middle age</v>
      </c>
      <c r="N841" t="s">
        <v>17</v>
      </c>
    </row>
    <row r="842" spans="1:14">
      <c r="A842">
        <v>11233</v>
      </c>
      <c r="B842" t="s">
        <v>38</v>
      </c>
      <c r="C842" t="s">
        <v>40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42</v>
      </c>
      <c r="K842" t="s">
        <v>35</v>
      </c>
      <c r="L842">
        <v>53</v>
      </c>
      <c r="M842" t="str">
        <f t="shared" si="36"/>
        <v>Middle age</v>
      </c>
      <c r="N842" t="s">
        <v>20</v>
      </c>
    </row>
    <row r="843" spans="1:14">
      <c r="A843">
        <v>12056</v>
      </c>
      <c r="B843" t="s">
        <v>38</v>
      </c>
      <c r="C843" t="s">
        <v>40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36"/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36"/>
        <v>Middle age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36"/>
        <v>Middle age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42</v>
      </c>
      <c r="K846" t="s">
        <v>35</v>
      </c>
      <c r="L846">
        <v>60</v>
      </c>
      <c r="M846" t="str">
        <f t="shared" si="36"/>
        <v>Old</v>
      </c>
      <c r="N846" t="s">
        <v>20</v>
      </c>
    </row>
    <row r="847" spans="1:14">
      <c r="A847">
        <v>25343</v>
      </c>
      <c r="B847" t="s">
        <v>41</v>
      </c>
      <c r="C847" t="s">
        <v>39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36"/>
        <v>Middle age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36"/>
        <v>Old</v>
      </c>
      <c r="N848" t="s">
        <v>20</v>
      </c>
    </row>
    <row r="849" spans="1:14">
      <c r="A849">
        <v>17482</v>
      </c>
      <c r="B849" t="s">
        <v>41</v>
      </c>
      <c r="C849" t="s">
        <v>39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36"/>
        <v>Adolescent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ref="M850:M870" si="37">IF(L850&gt;=54,"Old",IF(L850&gt;=31,"Middle age",IF(L850&lt;31,"Adolescent","Invalid")))</f>
        <v>Middle age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37"/>
        <v>Old</v>
      </c>
      <c r="N851" t="s">
        <v>20</v>
      </c>
    </row>
    <row r="852" spans="1:14">
      <c r="A852">
        <v>12205</v>
      </c>
      <c r="B852" t="s">
        <v>41</v>
      </c>
      <c r="C852" t="s">
        <v>39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37"/>
        <v>Old</v>
      </c>
      <c r="N852" t="s">
        <v>20</v>
      </c>
    </row>
    <row r="853" spans="1:14">
      <c r="A853">
        <v>16751</v>
      </c>
      <c r="B853" t="s">
        <v>38</v>
      </c>
      <c r="C853" t="s">
        <v>40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37"/>
        <v>Middle age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37"/>
        <v>Middle age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37"/>
        <v>Middle age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37"/>
        <v>Middle age</v>
      </c>
      <c r="N856" t="s">
        <v>20</v>
      </c>
    </row>
    <row r="857" spans="1:14">
      <c r="A857">
        <v>18347</v>
      </c>
      <c r="B857" t="s">
        <v>41</v>
      </c>
      <c r="C857" t="s">
        <v>39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37"/>
        <v>Middle age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37"/>
        <v>Adolescent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37"/>
        <v>Middle age</v>
      </c>
      <c r="N859" t="s">
        <v>17</v>
      </c>
    </row>
    <row r="860" spans="1:14">
      <c r="A860">
        <v>19147</v>
      </c>
      <c r="B860" t="s">
        <v>38</v>
      </c>
      <c r="C860" t="s">
        <v>40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37"/>
        <v>Middle age</v>
      </c>
      <c r="N860" t="s">
        <v>20</v>
      </c>
    </row>
    <row r="861" spans="1:14">
      <c r="A861">
        <v>19217</v>
      </c>
      <c r="B861" t="s">
        <v>38</v>
      </c>
      <c r="C861" t="s">
        <v>40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37"/>
        <v>Middle age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37"/>
        <v>Middle age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37"/>
        <v>Middle age</v>
      </c>
      <c r="N863" t="s">
        <v>17</v>
      </c>
    </row>
    <row r="864" spans="1:14">
      <c r="A864">
        <v>22330</v>
      </c>
      <c r="B864" t="s">
        <v>38</v>
      </c>
      <c r="C864" t="s">
        <v>40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37"/>
        <v>Middle age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37"/>
        <v>Middle age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37"/>
        <v>Middle age</v>
      </c>
      <c r="N866" t="s">
        <v>20</v>
      </c>
    </row>
    <row r="867" spans="1:14">
      <c r="A867">
        <v>22046</v>
      </c>
      <c r="B867" t="s">
        <v>41</v>
      </c>
      <c r="C867" t="s">
        <v>39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37"/>
        <v>Middle age</v>
      </c>
      <c r="N867" t="s">
        <v>17</v>
      </c>
    </row>
    <row r="868" spans="1:14">
      <c r="A868">
        <v>28052</v>
      </c>
      <c r="B868" t="s">
        <v>38</v>
      </c>
      <c r="C868" t="s">
        <v>40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42</v>
      </c>
      <c r="K868" t="s">
        <v>35</v>
      </c>
      <c r="L868">
        <v>55</v>
      </c>
      <c r="M868" t="str">
        <f t="shared" si="37"/>
        <v>Old</v>
      </c>
      <c r="N868" t="s">
        <v>20</v>
      </c>
    </row>
    <row r="869" spans="1:14">
      <c r="A869">
        <v>26693</v>
      </c>
      <c r="B869" t="s">
        <v>38</v>
      </c>
      <c r="C869" t="s">
        <v>40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37"/>
        <v>Middle age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42</v>
      </c>
      <c r="K870" t="s">
        <v>35</v>
      </c>
      <c r="L870">
        <v>60</v>
      </c>
      <c r="M870" t="str">
        <f t="shared" ref="M870:M889" si="38">IF(L870&gt;=54,"Old",IF(L870&gt;=31,"Middle age",IF(L870&lt;31,"Adolescent","Invalid")))</f>
        <v>Old</v>
      </c>
      <c r="N870" t="s">
        <v>17</v>
      </c>
    </row>
    <row r="871" spans="1:14">
      <c r="A871">
        <v>26065</v>
      </c>
      <c r="B871" t="s">
        <v>41</v>
      </c>
      <c r="C871" t="s">
        <v>39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38"/>
        <v>Middle age</v>
      </c>
      <c r="N871" t="s">
        <v>20</v>
      </c>
    </row>
    <row r="872" spans="1:14">
      <c r="A872">
        <v>13942</v>
      </c>
      <c r="B872" t="s">
        <v>38</v>
      </c>
      <c r="C872" t="s">
        <v>40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38"/>
        <v>Middle age</v>
      </c>
      <c r="N872" t="s">
        <v>20</v>
      </c>
    </row>
    <row r="873" spans="1:14">
      <c r="A873">
        <v>11219</v>
      </c>
      <c r="B873" t="s">
        <v>38</v>
      </c>
      <c r="C873" t="s">
        <v>40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42</v>
      </c>
      <c r="K873" t="s">
        <v>35</v>
      </c>
      <c r="L873">
        <v>55</v>
      </c>
      <c r="M873" t="str">
        <f t="shared" si="38"/>
        <v>Old</v>
      </c>
      <c r="N873" t="s">
        <v>20</v>
      </c>
    </row>
    <row r="874" spans="1:14">
      <c r="A874">
        <v>22118</v>
      </c>
      <c r="B874" t="s">
        <v>41</v>
      </c>
      <c r="C874" t="s">
        <v>39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38"/>
        <v>Middle age</v>
      </c>
      <c r="N874" t="s">
        <v>17</v>
      </c>
    </row>
    <row r="875" spans="1:14">
      <c r="A875">
        <v>23197</v>
      </c>
      <c r="B875" t="s">
        <v>38</v>
      </c>
      <c r="C875" t="s">
        <v>40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38"/>
        <v>Middle age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38"/>
        <v>Middle age</v>
      </c>
      <c r="N876" t="s">
        <v>17</v>
      </c>
    </row>
    <row r="877" spans="1:14">
      <c r="A877">
        <v>27279</v>
      </c>
      <c r="B877" t="s">
        <v>41</v>
      </c>
      <c r="C877" t="s">
        <v>39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38"/>
        <v>Middle age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38"/>
        <v>Adolescent</v>
      </c>
      <c r="N878" t="s">
        <v>20</v>
      </c>
    </row>
    <row r="879" spans="1:14">
      <c r="A879">
        <v>15879</v>
      </c>
      <c r="B879" t="s">
        <v>38</v>
      </c>
      <c r="C879" t="s">
        <v>40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38"/>
        <v>Old</v>
      </c>
      <c r="N879" t="s">
        <v>20</v>
      </c>
    </row>
    <row r="880" spans="1:14">
      <c r="A880">
        <v>28278</v>
      </c>
      <c r="B880" t="s">
        <v>38</v>
      </c>
      <c r="C880" t="s">
        <v>40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38"/>
        <v>Old</v>
      </c>
      <c r="N880" t="s">
        <v>20</v>
      </c>
    </row>
    <row r="881" spans="1:14">
      <c r="A881">
        <v>24416</v>
      </c>
      <c r="B881" t="s">
        <v>38</v>
      </c>
      <c r="C881" t="s">
        <v>40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38"/>
        <v>Middle age</v>
      </c>
      <c r="N881" t="s">
        <v>20</v>
      </c>
    </row>
    <row r="882" spans="1:14">
      <c r="A882">
        <v>28066</v>
      </c>
      <c r="B882" t="s">
        <v>38</v>
      </c>
      <c r="C882" t="s">
        <v>40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38"/>
        <v>Middle age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38"/>
        <v>Old</v>
      </c>
      <c r="N883" t="s">
        <v>17</v>
      </c>
    </row>
    <row r="884" spans="1:14">
      <c r="A884">
        <v>14872</v>
      </c>
      <c r="B884" t="s">
        <v>38</v>
      </c>
      <c r="C884" t="s">
        <v>40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38"/>
        <v>Middle age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38"/>
        <v>Middle age</v>
      </c>
      <c r="N885" t="s">
        <v>17</v>
      </c>
    </row>
    <row r="886" spans="1:14">
      <c r="A886">
        <v>19731</v>
      </c>
      <c r="B886" t="s">
        <v>38</v>
      </c>
      <c r="C886" t="s">
        <v>40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38"/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38"/>
        <v>Middle age</v>
      </c>
      <c r="N887" t="s">
        <v>20</v>
      </c>
    </row>
    <row r="888" spans="1:14">
      <c r="A888">
        <v>11807</v>
      </c>
      <c r="B888" t="s">
        <v>38</v>
      </c>
      <c r="C888" t="s">
        <v>40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38"/>
        <v>Middle age</v>
      </c>
      <c r="N888" t="s">
        <v>20</v>
      </c>
    </row>
    <row r="889" spans="1:14">
      <c r="A889">
        <v>11622</v>
      </c>
      <c r="B889" t="s">
        <v>38</v>
      </c>
      <c r="C889" t="s">
        <v>40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38"/>
        <v>Middle age</v>
      </c>
      <c r="N889" t="s">
        <v>20</v>
      </c>
    </row>
    <row r="890" spans="1:14">
      <c r="A890">
        <v>26597</v>
      </c>
      <c r="B890" t="s">
        <v>41</v>
      </c>
      <c r="C890" t="s">
        <v>39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ref="M890:M909" si="39">IF(L890&gt;=54,"Old",IF(L890&gt;=31,"Middle age",IF(L890&lt;31,"Adolescent","Invalid")))</f>
        <v>Middle age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39"/>
        <v>Middle age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39"/>
        <v>Middle age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39"/>
        <v>Old</v>
      </c>
      <c r="N893" t="s">
        <v>17</v>
      </c>
    </row>
    <row r="894" spans="1:14">
      <c r="A894">
        <v>17000</v>
      </c>
      <c r="B894" t="s">
        <v>41</v>
      </c>
      <c r="C894" t="s">
        <v>39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39"/>
        <v>Middle age</v>
      </c>
      <c r="N894" t="s">
        <v>17</v>
      </c>
    </row>
    <row r="895" spans="1:14">
      <c r="A895">
        <v>14569</v>
      </c>
      <c r="B895" t="s">
        <v>38</v>
      </c>
      <c r="C895" t="s">
        <v>40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39"/>
        <v>Middle age</v>
      </c>
      <c r="N895" t="s">
        <v>20</v>
      </c>
    </row>
    <row r="896" spans="1:14">
      <c r="A896">
        <v>13873</v>
      </c>
      <c r="B896" t="s">
        <v>38</v>
      </c>
      <c r="C896" t="s">
        <v>40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39"/>
        <v>Middle age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39"/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39"/>
        <v>Middle age</v>
      </c>
      <c r="N898" t="s">
        <v>17</v>
      </c>
    </row>
    <row r="899" spans="1:14">
      <c r="A899">
        <v>12029</v>
      </c>
      <c r="B899" t="s">
        <v>38</v>
      </c>
      <c r="C899" t="s">
        <v>40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si="39"/>
        <v>Adolescent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42</v>
      </c>
      <c r="K900" t="s">
        <v>35</v>
      </c>
      <c r="L900">
        <v>60</v>
      </c>
      <c r="M900" t="str">
        <f t="shared" si="39"/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42</v>
      </c>
      <c r="K901" t="s">
        <v>35</v>
      </c>
      <c r="L901">
        <v>46</v>
      </c>
      <c r="M901" t="str">
        <f t="shared" si="39"/>
        <v>Middle age</v>
      </c>
      <c r="N901" t="s">
        <v>20</v>
      </c>
    </row>
    <row r="902" spans="1:14">
      <c r="A902">
        <v>16122</v>
      </c>
      <c r="B902" t="s">
        <v>38</v>
      </c>
      <c r="C902" t="s">
        <v>40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39"/>
        <v>Middle age</v>
      </c>
      <c r="N902" t="s">
        <v>17</v>
      </c>
    </row>
    <row r="903" spans="1:14">
      <c r="A903">
        <v>18607</v>
      </c>
      <c r="B903" t="s">
        <v>41</v>
      </c>
      <c r="C903" t="s">
        <v>39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39"/>
        <v>Middle age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39"/>
        <v>Middle age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39"/>
        <v>Old</v>
      </c>
      <c r="N905" t="s">
        <v>20</v>
      </c>
    </row>
    <row r="906" spans="1:14">
      <c r="A906">
        <v>26305</v>
      </c>
      <c r="B906" t="s">
        <v>41</v>
      </c>
      <c r="C906" t="s">
        <v>39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39"/>
        <v>Middle age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39"/>
        <v>Middle age</v>
      </c>
      <c r="N907" t="s">
        <v>17</v>
      </c>
    </row>
    <row r="908" spans="1:14">
      <c r="A908">
        <v>25394</v>
      </c>
      <c r="B908" t="s">
        <v>38</v>
      </c>
      <c r="C908" t="s">
        <v>40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39"/>
        <v>Middle age</v>
      </c>
      <c r="N908" t="s">
        <v>17</v>
      </c>
    </row>
    <row r="909" spans="1:14">
      <c r="A909">
        <v>19747</v>
      </c>
      <c r="B909" t="s">
        <v>38</v>
      </c>
      <c r="C909" t="s">
        <v>40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42</v>
      </c>
      <c r="K909" t="s">
        <v>35</v>
      </c>
      <c r="L909">
        <v>63</v>
      </c>
      <c r="M909" t="str">
        <f t="shared" si="39"/>
        <v>Old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ref="M910:M927" si="40">IF(L910&gt;=54,"Old",IF(L910&gt;=31,"Middle age",IF(L910&lt;31,"Adolescent","Invalid")))</f>
        <v>Middle age</v>
      </c>
      <c r="N910" t="s">
        <v>17</v>
      </c>
    </row>
    <row r="911" spans="1:14">
      <c r="A911">
        <v>21695</v>
      </c>
      <c r="B911" t="s">
        <v>38</v>
      </c>
      <c r="C911" t="s">
        <v>40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40"/>
        <v>Middle age</v>
      </c>
      <c r="N911" t="s">
        <v>17</v>
      </c>
    </row>
    <row r="912" spans="1:14">
      <c r="A912">
        <v>13934</v>
      </c>
      <c r="B912" t="s">
        <v>38</v>
      </c>
      <c r="C912" t="s">
        <v>40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40"/>
        <v>Middle age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40"/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40"/>
        <v>Middle age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40"/>
        <v>Middle age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40"/>
        <v>Middle age</v>
      </c>
      <c r="N916" t="s">
        <v>20</v>
      </c>
    </row>
    <row r="917" spans="1:14">
      <c r="A917">
        <v>21752</v>
      </c>
      <c r="B917" t="s">
        <v>38</v>
      </c>
      <c r="C917" t="s">
        <v>40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42</v>
      </c>
      <c r="K917" t="s">
        <v>35</v>
      </c>
      <c r="L917">
        <v>64</v>
      </c>
      <c r="M917" t="str">
        <f t="shared" si="40"/>
        <v>Old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40"/>
        <v>Middle age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40"/>
        <v>Middle age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40"/>
        <v>Middle age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42</v>
      </c>
      <c r="K921" t="s">
        <v>35</v>
      </c>
      <c r="L921">
        <v>61</v>
      </c>
      <c r="M921" t="str">
        <f t="shared" si="40"/>
        <v>Old</v>
      </c>
      <c r="N921" t="s">
        <v>20</v>
      </c>
    </row>
    <row r="922" spans="1:14">
      <c r="A922">
        <v>20754</v>
      </c>
      <c r="B922" t="s">
        <v>38</v>
      </c>
      <c r="C922" t="s">
        <v>40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40"/>
        <v>Middle age</v>
      </c>
      <c r="N922" t="s">
        <v>20</v>
      </c>
    </row>
    <row r="923" spans="1:14">
      <c r="A923">
        <v>12153</v>
      </c>
      <c r="B923" t="s">
        <v>41</v>
      </c>
      <c r="C923" t="s">
        <v>39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40"/>
        <v>Middle age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40"/>
        <v>Old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40"/>
        <v>Middle age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40"/>
        <v>Middle age</v>
      </c>
      <c r="N926" t="s">
        <v>17</v>
      </c>
    </row>
    <row r="927" spans="1:14">
      <c r="A927">
        <v>15862</v>
      </c>
      <c r="B927" t="s">
        <v>41</v>
      </c>
      <c r="C927" t="s">
        <v>39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40"/>
        <v>Middle age</v>
      </c>
      <c r="N927" t="s">
        <v>17</v>
      </c>
    </row>
    <row r="928" spans="1:14">
      <c r="A928">
        <v>26495</v>
      </c>
      <c r="B928" t="s">
        <v>41</v>
      </c>
      <c r="C928" t="s">
        <v>39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42</v>
      </c>
      <c r="K928" t="s">
        <v>35</v>
      </c>
      <c r="L928">
        <v>57</v>
      </c>
      <c r="M928" t="str">
        <f t="shared" ref="M928:M943" si="41">IF(L928&gt;=54,"Old",IF(L928&gt;=31,"Middle age",IF(L928&lt;31,"Adolescent","Invalid")))</f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41"/>
        <v>Middle age</v>
      </c>
      <c r="N929" t="s">
        <v>20</v>
      </c>
    </row>
    <row r="930" spans="1:14">
      <c r="A930">
        <v>23449</v>
      </c>
      <c r="B930" t="s">
        <v>38</v>
      </c>
      <c r="C930" t="s">
        <v>40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41"/>
        <v>Middle age</v>
      </c>
      <c r="N930" t="s">
        <v>20</v>
      </c>
    </row>
    <row r="931" spans="1:14">
      <c r="A931">
        <v>23459</v>
      </c>
      <c r="B931" t="s">
        <v>38</v>
      </c>
      <c r="C931" t="s">
        <v>40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41"/>
        <v>Middle age</v>
      </c>
      <c r="N931" t="s">
        <v>20</v>
      </c>
    </row>
    <row r="932" spans="1:14">
      <c r="A932">
        <v>19543</v>
      </c>
      <c r="B932" t="s">
        <v>38</v>
      </c>
      <c r="C932" t="s">
        <v>40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42</v>
      </c>
      <c r="K932" t="s">
        <v>35</v>
      </c>
      <c r="L932">
        <v>47</v>
      </c>
      <c r="M932" t="str">
        <f t="shared" si="41"/>
        <v>Middle age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41"/>
        <v>Middle age</v>
      </c>
      <c r="N933" t="s">
        <v>17</v>
      </c>
    </row>
    <row r="934" spans="1:14">
      <c r="A934">
        <v>12033</v>
      </c>
      <c r="B934" t="s">
        <v>41</v>
      </c>
      <c r="C934" t="s">
        <v>39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41"/>
        <v>Adolescent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41"/>
        <v>Adolescent</v>
      </c>
      <c r="N935" t="s">
        <v>20</v>
      </c>
    </row>
    <row r="936" spans="1:14">
      <c r="A936">
        <v>14389</v>
      </c>
      <c r="B936" t="s">
        <v>38</v>
      </c>
      <c r="C936" t="s">
        <v>40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41"/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41"/>
        <v>Middle age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41"/>
        <v>Old</v>
      </c>
      <c r="N938" t="s">
        <v>20</v>
      </c>
    </row>
    <row r="939" spans="1:14">
      <c r="A939">
        <v>11663</v>
      </c>
      <c r="B939" t="s">
        <v>38</v>
      </c>
      <c r="C939" t="s">
        <v>40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41"/>
        <v>Middle age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41"/>
        <v>Adolescent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41"/>
        <v>Middle age</v>
      </c>
      <c r="N941" t="s">
        <v>20</v>
      </c>
    </row>
    <row r="942" spans="1:14">
      <c r="A942">
        <v>15292</v>
      </c>
      <c r="B942" t="s">
        <v>41</v>
      </c>
      <c r="C942" t="s">
        <v>39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41"/>
        <v>Middle age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41"/>
        <v>Middle age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ref="M944:M964" si="42">IF(L944&gt;=54,"Old",IF(L944&gt;=31,"Middle age",IF(L944&lt;31,"Adolescent","Invalid")))</f>
        <v>Old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42"/>
        <v>Middle age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42"/>
        <v>Middle age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42"/>
        <v>Middle age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42"/>
        <v>Old</v>
      </c>
      <c r="N948" t="s">
        <v>17</v>
      </c>
    </row>
    <row r="949" spans="1:14">
      <c r="A949">
        <v>11303</v>
      </c>
      <c r="B949" t="s">
        <v>41</v>
      </c>
      <c r="C949" t="s">
        <v>39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42"/>
        <v>Middle age</v>
      </c>
      <c r="N949" t="s">
        <v>17</v>
      </c>
    </row>
    <row r="950" spans="1:14">
      <c r="A950">
        <v>21693</v>
      </c>
      <c r="B950" t="s">
        <v>41</v>
      </c>
      <c r="C950" t="s">
        <v>39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42"/>
        <v>Middle age</v>
      </c>
      <c r="N950" t="s">
        <v>20</v>
      </c>
    </row>
    <row r="951" spans="1:14">
      <c r="A951">
        <v>28056</v>
      </c>
      <c r="B951" t="s">
        <v>38</v>
      </c>
      <c r="C951" t="s">
        <v>40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42</v>
      </c>
      <c r="K951" t="s">
        <v>35</v>
      </c>
      <c r="L951">
        <v>53</v>
      </c>
      <c r="M951" t="str">
        <f t="shared" si="42"/>
        <v>Middle age</v>
      </c>
      <c r="N951" t="s">
        <v>20</v>
      </c>
    </row>
    <row r="952" spans="1:14">
      <c r="A952">
        <v>11788</v>
      </c>
      <c r="B952" t="s">
        <v>41</v>
      </c>
      <c r="C952" t="s">
        <v>39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42"/>
        <v>Middle age</v>
      </c>
      <c r="N952" t="s">
        <v>20</v>
      </c>
    </row>
    <row r="953" spans="1:14">
      <c r="A953">
        <v>22296</v>
      </c>
      <c r="B953" t="s">
        <v>38</v>
      </c>
      <c r="C953" t="s">
        <v>40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42"/>
        <v>Middle age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42"/>
        <v>Old</v>
      </c>
      <c r="N954" t="s">
        <v>20</v>
      </c>
    </row>
    <row r="955" spans="1:14">
      <c r="A955">
        <v>17654</v>
      </c>
      <c r="B955" t="s">
        <v>41</v>
      </c>
      <c r="C955" t="s">
        <v>39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42"/>
        <v>Adolescent</v>
      </c>
      <c r="N955" t="s">
        <v>17</v>
      </c>
    </row>
    <row r="956" spans="1:14">
      <c r="A956">
        <v>14662</v>
      </c>
      <c r="B956" t="s">
        <v>38</v>
      </c>
      <c r="C956" t="s">
        <v>40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42"/>
        <v>Middle age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42"/>
        <v>Middle age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42"/>
        <v>Middle age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42"/>
        <v>Adolescent</v>
      </c>
      <c r="N959" t="s">
        <v>20</v>
      </c>
    </row>
    <row r="960" spans="1:14">
      <c r="A960">
        <v>21940</v>
      </c>
      <c r="B960" t="s">
        <v>38</v>
      </c>
      <c r="C960" t="s">
        <v>40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42"/>
        <v>Middle age</v>
      </c>
      <c r="N960" t="s">
        <v>17</v>
      </c>
    </row>
    <row r="961" spans="1:14">
      <c r="A961">
        <v>20196</v>
      </c>
      <c r="B961" t="s">
        <v>38</v>
      </c>
      <c r="C961" t="s">
        <v>40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42"/>
        <v>Middle age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42"/>
        <v>Middle age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si="42"/>
        <v>Old</v>
      </c>
      <c r="N963" t="s">
        <v>20</v>
      </c>
    </row>
    <row r="964" spans="1:14">
      <c r="A964">
        <v>16813</v>
      </c>
      <c r="B964" t="s">
        <v>38</v>
      </c>
      <c r="C964" t="s">
        <v>40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42</v>
      </c>
      <c r="K964" t="s">
        <v>35</v>
      </c>
      <c r="L964">
        <v>55</v>
      </c>
      <c r="M964" t="str">
        <f t="shared" si="42"/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ref="M965:M984" si="43">IF(L965&gt;=54,"Old",IF(L965&gt;=31,"Middle age",IF(L965&lt;31,"Adolescent","Invalid")))</f>
        <v>Old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42</v>
      </c>
      <c r="K966" t="s">
        <v>35</v>
      </c>
      <c r="L966">
        <v>56</v>
      </c>
      <c r="M966" t="str">
        <f t="shared" si="43"/>
        <v>Old</v>
      </c>
      <c r="N966" t="s">
        <v>20</v>
      </c>
    </row>
    <row r="967" spans="1:14">
      <c r="A967">
        <v>27756</v>
      </c>
      <c r="B967" t="s">
        <v>41</v>
      </c>
      <c r="C967" t="s">
        <v>39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43"/>
        <v>Middle age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43"/>
        <v>Middle age</v>
      </c>
      <c r="N968" t="s">
        <v>17</v>
      </c>
    </row>
    <row r="969" spans="1:14">
      <c r="A969">
        <v>19012</v>
      </c>
      <c r="B969" t="s">
        <v>38</v>
      </c>
      <c r="C969" t="s">
        <v>40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43"/>
        <v>Old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43"/>
        <v>Adolescent</v>
      </c>
      <c r="N970" t="s">
        <v>20</v>
      </c>
    </row>
    <row r="971" spans="1:14">
      <c r="A971">
        <v>29037</v>
      </c>
      <c r="B971" t="s">
        <v>38</v>
      </c>
      <c r="C971" t="s">
        <v>40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43"/>
        <v>Middle age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43"/>
        <v>Middle age</v>
      </c>
      <c r="N972" t="s">
        <v>20</v>
      </c>
    </row>
    <row r="973" spans="1:14">
      <c r="A973">
        <v>12192</v>
      </c>
      <c r="B973" t="s">
        <v>41</v>
      </c>
      <c r="C973" t="s">
        <v>39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43"/>
        <v>Middle age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43"/>
        <v>Middle age</v>
      </c>
      <c r="N974" t="s">
        <v>20</v>
      </c>
    </row>
    <row r="975" spans="1:14">
      <c r="A975">
        <v>11734</v>
      </c>
      <c r="B975" t="s">
        <v>38</v>
      </c>
      <c r="C975" t="s">
        <v>40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43"/>
        <v>Middle age</v>
      </c>
      <c r="N975" t="s">
        <v>20</v>
      </c>
    </row>
    <row r="976" spans="1:14">
      <c r="A976">
        <v>17462</v>
      </c>
      <c r="B976" t="s">
        <v>38</v>
      </c>
      <c r="C976" t="s">
        <v>40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43"/>
        <v>Middle age</v>
      </c>
      <c r="N976" t="s">
        <v>17</v>
      </c>
    </row>
    <row r="977" spans="1:14">
      <c r="A977">
        <v>20659</v>
      </c>
      <c r="B977" t="s">
        <v>38</v>
      </c>
      <c r="C977" t="s">
        <v>40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43"/>
        <v>Middle age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42</v>
      </c>
      <c r="K978" t="s">
        <v>35</v>
      </c>
      <c r="L978">
        <v>66</v>
      </c>
      <c r="M978" t="str">
        <f t="shared" si="43"/>
        <v>Old</v>
      </c>
      <c r="N978" t="s">
        <v>20</v>
      </c>
    </row>
    <row r="979" spans="1:14">
      <c r="A979">
        <v>19741</v>
      </c>
      <c r="B979" t="s">
        <v>41</v>
      </c>
      <c r="C979" t="s">
        <v>39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43"/>
        <v>Old</v>
      </c>
      <c r="N979" t="s">
        <v>20</v>
      </c>
    </row>
    <row r="980" spans="1:14">
      <c r="A980">
        <v>17450</v>
      </c>
      <c r="B980" t="s">
        <v>38</v>
      </c>
      <c r="C980" t="s">
        <v>40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43"/>
        <v>Middle age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43"/>
        <v>Middle age</v>
      </c>
      <c r="N981" t="s">
        <v>20</v>
      </c>
    </row>
    <row r="982" spans="1:14">
      <c r="A982">
        <v>18594</v>
      </c>
      <c r="B982" t="s">
        <v>41</v>
      </c>
      <c r="C982" t="s">
        <v>39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42</v>
      </c>
      <c r="K982" t="s">
        <v>35</v>
      </c>
      <c r="L982">
        <v>40</v>
      </c>
      <c r="M982" t="str">
        <f t="shared" si="43"/>
        <v>Middle age</v>
      </c>
      <c r="N982" t="s">
        <v>17</v>
      </c>
    </row>
    <row r="983" spans="1:14">
      <c r="A983">
        <v>15982</v>
      </c>
      <c r="B983" t="s">
        <v>38</v>
      </c>
      <c r="C983" t="s">
        <v>40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43"/>
        <v>Middle age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43"/>
        <v>Middle age</v>
      </c>
      <c r="N984" t="s">
        <v>17</v>
      </c>
    </row>
    <row r="985" spans="1:14">
      <c r="A985">
        <v>11269</v>
      </c>
      <c r="B985" t="s">
        <v>38</v>
      </c>
      <c r="C985" t="s">
        <v>40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ref="M985:M999" si="44">IF(L985&gt;=54,"Old",IF(L985&gt;=31,"Middle age",IF(L985&lt;31,"Adolescent","Invalid")))</f>
        <v>Middle age</v>
      </c>
      <c r="N985" t="s">
        <v>20</v>
      </c>
    </row>
    <row r="986" spans="1:14">
      <c r="A986">
        <v>25148</v>
      </c>
      <c r="B986" t="s">
        <v>38</v>
      </c>
      <c r="C986" t="s">
        <v>40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44"/>
        <v>Middle age</v>
      </c>
      <c r="N986" t="s">
        <v>17</v>
      </c>
    </row>
    <row r="987" spans="1:14">
      <c r="A987">
        <v>13920</v>
      </c>
      <c r="B987" t="s">
        <v>41</v>
      </c>
      <c r="C987" t="s">
        <v>39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44"/>
        <v>Middle age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42</v>
      </c>
      <c r="K988" t="s">
        <v>35</v>
      </c>
      <c r="L988">
        <v>60</v>
      </c>
      <c r="M988" t="str">
        <f t="shared" si="44"/>
        <v>Old</v>
      </c>
      <c r="N988" t="s">
        <v>17</v>
      </c>
    </row>
    <row r="989" spans="1:14">
      <c r="A989">
        <v>28972</v>
      </c>
      <c r="B989" t="s">
        <v>41</v>
      </c>
      <c r="C989" t="s">
        <v>39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42</v>
      </c>
      <c r="K989" t="s">
        <v>35</v>
      </c>
      <c r="L989">
        <v>66</v>
      </c>
      <c r="M989" t="str">
        <f t="shared" si="44"/>
        <v>Old</v>
      </c>
      <c r="N989" t="s">
        <v>20</v>
      </c>
    </row>
    <row r="990" spans="1:14">
      <c r="A990">
        <v>22730</v>
      </c>
      <c r="B990" t="s">
        <v>38</v>
      </c>
      <c r="C990" t="s">
        <v>40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42</v>
      </c>
      <c r="K990" t="s">
        <v>35</v>
      </c>
      <c r="L990">
        <v>63</v>
      </c>
      <c r="M990" t="str">
        <f t="shared" si="44"/>
        <v>Old</v>
      </c>
      <c r="N990" t="s">
        <v>20</v>
      </c>
    </row>
    <row r="991" spans="1:14">
      <c r="A991">
        <v>29134</v>
      </c>
      <c r="B991" t="s">
        <v>38</v>
      </c>
      <c r="C991" t="s">
        <v>40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42</v>
      </c>
      <c r="K991" t="s">
        <v>35</v>
      </c>
      <c r="L991">
        <v>42</v>
      </c>
      <c r="M991" t="str">
        <f t="shared" si="44"/>
        <v>Middle age</v>
      </c>
      <c r="N991" t="s">
        <v>20</v>
      </c>
    </row>
    <row r="992" spans="1:14">
      <c r="A992">
        <v>14332</v>
      </c>
      <c r="B992" t="s">
        <v>41</v>
      </c>
      <c r="C992" t="s">
        <v>39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44"/>
        <v>Adolescent</v>
      </c>
      <c r="N992" t="s">
        <v>20</v>
      </c>
    </row>
    <row r="993" spans="1:14">
      <c r="A993">
        <v>19117</v>
      </c>
      <c r="B993" t="s">
        <v>41</v>
      </c>
      <c r="C993" t="s">
        <v>39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44"/>
        <v>Middle age</v>
      </c>
      <c r="N993" t="s">
        <v>17</v>
      </c>
    </row>
    <row r="994" spans="1:14">
      <c r="A994">
        <v>22864</v>
      </c>
      <c r="B994" t="s">
        <v>38</v>
      </c>
      <c r="C994" t="s">
        <v>40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44"/>
        <v>Middle age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44"/>
        <v>Middle age</v>
      </c>
      <c r="N995" t="s">
        <v>17</v>
      </c>
    </row>
    <row r="996" spans="1:14">
      <c r="A996">
        <v>13466</v>
      </c>
      <c r="B996" t="s">
        <v>38</v>
      </c>
      <c r="C996" t="s">
        <v>40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44"/>
        <v>Middle age</v>
      </c>
      <c r="N996" t="s">
        <v>20</v>
      </c>
    </row>
    <row r="997" spans="1:14">
      <c r="A997">
        <v>23731</v>
      </c>
      <c r="B997" t="s">
        <v>38</v>
      </c>
      <c r="C997" t="s">
        <v>40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44"/>
        <v>Old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44"/>
        <v>Middle age</v>
      </c>
      <c r="N998" t="s">
        <v>17</v>
      </c>
    </row>
    <row r="999" spans="1:14">
      <c r="A999">
        <v>11809</v>
      </c>
      <c r="B999" t="s">
        <v>38</v>
      </c>
      <c r="C999" t="s">
        <v>40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>IF(L999&gt;=54,"Old",IF(L999&gt;=31,"Middle age",IF(L999&lt;31,"Adolescent","Invalid")))</f>
        <v>Middle age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>IF(L1000&gt;=54,"Old",IF(L1000&gt;=31,"Middle age",IF(L1000&lt;31,"Adolescent","Invalid")))</f>
        <v>Middle age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42</v>
      </c>
      <c r="K1001" t="s">
        <v>35</v>
      </c>
      <c r="L1001">
        <v>53</v>
      </c>
      <c r="M1001" t="str">
        <f>IF(L1001&gt;=54,"Old",IF(L1001&gt;=31,"Middle age",IF(L1001&lt;31,"Adolescent","Invalid")))</f>
        <v>Middle age</v>
      </c>
      <c r="N100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showGridLines="0" topLeftCell="A4" workbookViewId="0">
      <selection activeCell="J2" sqref="J2"/>
    </sheetView>
  </sheetViews>
  <sheetFormatPr defaultColWidth="9.14285714285714" defaultRowHeight="15" outlineLevelRow="1"/>
  <sheetData>
    <row r="1" ht="26.25" spans="1:14">
      <c r="A1" s="1" t="s">
        <v>43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r="2" spans="1:14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</row>
  </sheetData>
  <mergeCells count="1">
    <mergeCell ref="A1:H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6"/>
  <sheetViews>
    <sheetView topLeftCell="A36" workbookViewId="0">
      <selection activeCell="B7" sqref="B7"/>
    </sheetView>
  </sheetViews>
  <sheetFormatPr defaultColWidth="9.14285714285714" defaultRowHeight="15" outlineLevelCol="3"/>
  <cols>
    <col min="1" max="1" width="24.5714285714286"/>
    <col min="2" max="3" width="17.5714285714286"/>
    <col min="4" max="4" width="11.8571428571429"/>
  </cols>
  <sheetData>
    <row r="2" spans="1:2">
      <c r="A2" t="s">
        <v>44</v>
      </c>
      <c r="B2" t="s">
        <v>12</v>
      </c>
    </row>
    <row r="3" spans="1:4">
      <c r="A3" t="s">
        <v>2</v>
      </c>
      <c r="B3" t="s">
        <v>20</v>
      </c>
      <c r="C3" t="s">
        <v>17</v>
      </c>
      <c r="D3" t="s">
        <v>45</v>
      </c>
    </row>
    <row r="4" spans="1:4">
      <c r="A4" t="s">
        <v>39</v>
      </c>
      <c r="B4">
        <v>85000</v>
      </c>
      <c r="C4">
        <v>68750</v>
      </c>
      <c r="D4">
        <v>74166.6666666667</v>
      </c>
    </row>
    <row r="5" spans="1:4">
      <c r="A5" t="s">
        <v>40</v>
      </c>
      <c r="B5">
        <v>78181.8181818182</v>
      </c>
      <c r="C5">
        <v>72727.2727272727</v>
      </c>
      <c r="D5">
        <v>75454.5454545455</v>
      </c>
    </row>
    <row r="6" spans="1:4">
      <c r="A6" t="s">
        <v>45</v>
      </c>
      <c r="B6">
        <v>80000</v>
      </c>
      <c r="C6">
        <v>71052.6315789474</v>
      </c>
      <c r="D6">
        <v>75000</v>
      </c>
    </row>
    <row r="27" spans="1:2">
      <c r="A27" t="s">
        <v>46</v>
      </c>
      <c r="B27" t="s">
        <v>12</v>
      </c>
    </row>
    <row r="28" spans="1:4">
      <c r="A28" t="s">
        <v>9</v>
      </c>
      <c r="B28" t="s">
        <v>20</v>
      </c>
      <c r="C28" t="s">
        <v>17</v>
      </c>
      <c r="D28" t="s">
        <v>45</v>
      </c>
    </row>
    <row r="29" spans="1:4">
      <c r="A29" t="s">
        <v>18</v>
      </c>
      <c r="B29">
        <v>2</v>
      </c>
      <c r="C29">
        <v>9</v>
      </c>
      <c r="D29">
        <v>11</v>
      </c>
    </row>
    <row r="30" spans="1:4">
      <c r="A30" t="s">
        <v>29</v>
      </c>
      <c r="B30">
        <v>2</v>
      </c>
      <c r="C30">
        <v>3</v>
      </c>
      <c r="D30">
        <v>5</v>
      </c>
    </row>
    <row r="31" spans="1:4">
      <c r="A31" t="s">
        <v>24</v>
      </c>
      <c r="B31">
        <v>4</v>
      </c>
      <c r="C31">
        <v>3</v>
      </c>
      <c r="D31">
        <v>7</v>
      </c>
    </row>
    <row r="32" spans="1:4">
      <c r="A32" t="s">
        <v>26</v>
      </c>
      <c r="B32">
        <v>3</v>
      </c>
      <c r="C32">
        <v>2</v>
      </c>
      <c r="D32">
        <v>5</v>
      </c>
    </row>
    <row r="33" spans="1:4">
      <c r="A33" t="s">
        <v>42</v>
      </c>
      <c r="B33">
        <v>4</v>
      </c>
      <c r="C33">
        <v>2</v>
      </c>
      <c r="D33">
        <v>6</v>
      </c>
    </row>
    <row r="34" spans="1:4">
      <c r="A34" t="s">
        <v>45</v>
      </c>
      <c r="B34">
        <v>15</v>
      </c>
      <c r="C34">
        <v>19</v>
      </c>
      <c r="D34">
        <v>34</v>
      </c>
    </row>
    <row r="51" spans="1:2">
      <c r="A51" t="s">
        <v>46</v>
      </c>
      <c r="B51" t="s">
        <v>12</v>
      </c>
    </row>
    <row r="52" spans="1:4">
      <c r="A52" t="s">
        <v>37</v>
      </c>
      <c r="B52" t="s">
        <v>20</v>
      </c>
      <c r="C52" t="s">
        <v>17</v>
      </c>
      <c r="D52" t="s">
        <v>45</v>
      </c>
    </row>
    <row r="53" spans="1:4">
      <c r="A53" t="s">
        <v>47</v>
      </c>
      <c r="B53">
        <v>1</v>
      </c>
      <c r="C53">
        <v>4</v>
      </c>
      <c r="D53">
        <v>5</v>
      </c>
    </row>
    <row r="54" spans="1:4">
      <c r="A54" t="s">
        <v>48</v>
      </c>
      <c r="B54">
        <v>12</v>
      </c>
      <c r="C54">
        <v>14</v>
      </c>
      <c r="D54">
        <v>26</v>
      </c>
    </row>
    <row r="55" spans="1:4">
      <c r="A55" t="s">
        <v>49</v>
      </c>
      <c r="B55">
        <v>2</v>
      </c>
      <c r="C55">
        <v>1</v>
      </c>
      <c r="D55">
        <v>3</v>
      </c>
    </row>
    <row r="56" spans="1:4">
      <c r="A56" t="s">
        <v>45</v>
      </c>
      <c r="B56">
        <v>15</v>
      </c>
      <c r="C56">
        <v>19</v>
      </c>
      <c r="D56">
        <v>34</v>
      </c>
    </row>
  </sheetData>
  <pageMargins left="0.75" right="0.75" top="1" bottom="1" header="0.5" footer="0.5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2022-03-18T02:50:00Z</dcterms:created>
  <dcterms:modified xsi:type="dcterms:W3CDTF">2025-12-06T10:05:31Z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3F98A998CE484526B86F1E8AB6519F5F_12</vt:lpwstr>
  </property>
  <property fmtid="{D5CDD505-2E9C-101B-9397-08002B2CF9AE}" pid="3" name="KSOProductBuildVer">
    <vt:lpwstr>2057-12.2.0.23158</vt:lpwstr>
  </property>
</Properties>
</file>